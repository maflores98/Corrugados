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Corrugados\public\"/>
    </mc:Choice>
  </mc:AlternateContent>
  <bookViews>
    <workbookView xWindow="120" yWindow="120" windowWidth="20730" windowHeight="11265" firstSheet="1" activeTab="1"/>
  </bookViews>
  <sheets>
    <sheet name="Cotizador" sheetId="1" state="hidden" r:id="rId1"/>
    <sheet name="CotiMaquilas" sheetId="5" r:id="rId2"/>
    <sheet name="Cartones" sheetId="2" state="hidden" r:id="rId3"/>
    <sheet name="Tipos Productos" sheetId="3" state="hidden" r:id="rId4"/>
    <sheet name="Precios de Maquilas" sheetId="6" r:id="rId5"/>
  </sheets>
  <definedNames>
    <definedName name="_xlnm.Print_Area" localSheetId="4">'Precios de Maquilas'!$A$1:$G$51</definedName>
  </definedNames>
  <calcPr calcId="171027"/>
</workbook>
</file>

<file path=xl/calcChain.xml><?xml version="1.0" encoding="utf-8"?>
<calcChain xmlns="http://schemas.openxmlformats.org/spreadsheetml/2006/main">
  <c r="G39" i="1" l="1"/>
  <c r="E39" i="1"/>
  <c r="A4" i="5" l="1"/>
  <c r="J4" i="5" s="1"/>
  <c r="J34" i="5"/>
  <c r="H34" i="5"/>
  <c r="H31" i="5"/>
  <c r="J31" i="5"/>
  <c r="C34" i="5"/>
  <c r="C31" i="5"/>
  <c r="F28" i="5"/>
  <c r="D28" i="5"/>
  <c r="L28" i="5" s="1"/>
  <c r="J28" i="5" s="1"/>
  <c r="C28" i="5"/>
  <c r="H28" i="5"/>
  <c r="F25" i="5"/>
  <c r="D25" i="5"/>
  <c r="C25" i="5"/>
  <c r="H25" i="5"/>
  <c r="I22" i="5"/>
  <c r="H22" i="5"/>
  <c r="P22" i="5"/>
  <c r="S22" i="5" s="1"/>
  <c r="P23" i="5"/>
  <c r="S23" i="5" s="1"/>
  <c r="P21" i="5"/>
  <c r="S21" i="5" s="1"/>
  <c r="F22" i="5"/>
  <c r="D22" i="5"/>
  <c r="C22" i="5"/>
  <c r="I16" i="5"/>
  <c r="I13" i="5"/>
  <c r="I19" i="5"/>
  <c r="H19" i="5"/>
  <c r="F19" i="5"/>
  <c r="D19" i="5"/>
  <c r="C19" i="5"/>
  <c r="C13" i="5"/>
  <c r="H16" i="5"/>
  <c r="E16" i="5"/>
  <c r="D16" i="5"/>
  <c r="G16" i="5"/>
  <c r="F16" i="5"/>
  <c r="H13" i="5"/>
  <c r="H10" i="5"/>
  <c r="I10" i="5" s="1"/>
  <c r="C16" i="5"/>
  <c r="G13" i="5"/>
  <c r="F13" i="5"/>
  <c r="E13" i="5"/>
  <c r="D13" i="5"/>
  <c r="G10" i="5"/>
  <c r="F10" i="5"/>
  <c r="E10" i="5"/>
  <c r="D10" i="5"/>
  <c r="C10" i="5"/>
  <c r="G2" i="5"/>
  <c r="K28" i="5" l="1"/>
  <c r="L25" i="5"/>
  <c r="J25" i="5" s="1"/>
  <c r="K25" i="5" s="1"/>
  <c r="L19" i="5"/>
  <c r="J19" i="5" s="1"/>
  <c r="K19" i="5" s="1"/>
  <c r="K31" i="5"/>
  <c r="K34" i="5"/>
  <c r="L13" i="5"/>
  <c r="J13" i="5" s="1"/>
  <c r="K13" i="5" s="1"/>
  <c r="L22" i="5"/>
  <c r="J22" i="5" s="1"/>
  <c r="K22" i="5" s="1"/>
  <c r="L10" i="5"/>
  <c r="J10" i="5" s="1"/>
  <c r="K10" i="5" s="1"/>
  <c r="L16" i="5"/>
  <c r="J16" i="5" s="1"/>
  <c r="K16" i="5" s="1"/>
  <c r="C45" i="1"/>
  <c r="C46" i="1" s="1"/>
  <c r="G40" i="1"/>
  <c r="E40" i="1"/>
  <c r="G42" i="1"/>
  <c r="E42" i="1"/>
  <c r="K3" i="5" l="1"/>
  <c r="K4" i="5" s="1"/>
  <c r="K5" i="5" s="1"/>
  <c r="K2" i="5" s="1"/>
  <c r="G43" i="1"/>
  <c r="E43" i="1"/>
  <c r="G20" i="1"/>
  <c r="G19" i="1"/>
  <c r="G18" i="1"/>
  <c r="O5" i="1" l="1"/>
  <c r="O31" i="1"/>
  <c r="O28" i="1" l="1"/>
  <c r="A25" i="1"/>
  <c r="R20" i="1" l="1"/>
  <c r="R35" i="1"/>
  <c r="Q35" i="1"/>
  <c r="Q20" i="1"/>
  <c r="O35" i="1"/>
  <c r="O20" i="1"/>
  <c r="N35" i="1"/>
  <c r="N20" i="1"/>
  <c r="T35" i="1" l="1"/>
  <c r="T20" i="1"/>
  <c r="C39" i="1" l="1"/>
  <c r="C42" i="1" s="1"/>
  <c r="I25" i="1" l="1"/>
  <c r="R31" i="1"/>
  <c r="R34" i="1"/>
  <c r="R33" i="1"/>
  <c r="R32" i="1"/>
  <c r="R19" i="1"/>
  <c r="R18" i="1"/>
  <c r="R17" i="1"/>
  <c r="R16" i="1"/>
  <c r="R15" i="1"/>
  <c r="R14" i="1"/>
  <c r="I39" i="1"/>
  <c r="R23" i="1" l="1"/>
  <c r="R28" i="1"/>
  <c r="C25" i="1" s="1"/>
  <c r="E25" i="1"/>
  <c r="F25" i="1"/>
  <c r="F7" i="1"/>
  <c r="T8" i="1" l="1"/>
  <c r="G17" i="1"/>
  <c r="G21" i="1" s="1"/>
  <c r="I40" i="1" l="1"/>
  <c r="I29" i="1"/>
  <c r="T6" i="1"/>
  <c r="I32" i="1"/>
  <c r="I33" i="1"/>
  <c r="A14" i="1"/>
  <c r="A13" i="1"/>
  <c r="Q30" i="1"/>
  <c r="Q29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12" i="1"/>
  <c r="W36" i="1"/>
  <c r="W40" i="1"/>
  <c r="W44" i="1"/>
  <c r="F3" i="2"/>
  <c r="G3" i="2" s="1"/>
  <c r="F4" i="2"/>
  <c r="G4" i="2" s="1"/>
  <c r="F5" i="2"/>
  <c r="G5" i="2" s="1"/>
  <c r="F6" i="2"/>
  <c r="G6" i="2" s="1"/>
  <c r="F7" i="2"/>
  <c r="G7" i="2" s="1"/>
  <c r="F8" i="2"/>
  <c r="G8" i="2" s="1"/>
  <c r="F9" i="2"/>
  <c r="G9" i="2" s="1"/>
  <c r="F10" i="2"/>
  <c r="G10" i="2" s="1"/>
  <c r="F11" i="2"/>
  <c r="G11" i="2" s="1"/>
  <c r="F12" i="2"/>
  <c r="G12" i="2" s="1"/>
  <c r="F13" i="2"/>
  <c r="G13" i="2" s="1"/>
  <c r="F14" i="2"/>
  <c r="G14" i="2" s="1"/>
  <c r="F15" i="2"/>
  <c r="G15" i="2" s="1"/>
  <c r="F16" i="2"/>
  <c r="G16" i="2" s="1"/>
  <c r="F17" i="2"/>
  <c r="G17" i="2" s="1"/>
  <c r="F18" i="2"/>
  <c r="G18" i="2" s="1"/>
  <c r="F19" i="2"/>
  <c r="G19" i="2" s="1"/>
  <c r="F20" i="2"/>
  <c r="G20" i="2" s="1"/>
  <c r="F21" i="2"/>
  <c r="G21" i="2" s="1"/>
  <c r="F22" i="2"/>
  <c r="G22" i="2" s="1"/>
  <c r="F23" i="2"/>
  <c r="G23" i="2" s="1"/>
  <c r="F24" i="2"/>
  <c r="G24" i="2" s="1"/>
  <c r="F25" i="2"/>
  <c r="G25" i="2" s="1"/>
  <c r="F26" i="2"/>
  <c r="G26" i="2" s="1"/>
  <c r="F27" i="2"/>
  <c r="G27" i="2" s="1"/>
  <c r="F28" i="2"/>
  <c r="G28" i="2" s="1"/>
  <c r="F29" i="2"/>
  <c r="G29" i="2" s="1"/>
  <c r="F30" i="2"/>
  <c r="G30" i="2" s="1"/>
  <c r="F31" i="2"/>
  <c r="G31" i="2" s="1"/>
  <c r="F32" i="2"/>
  <c r="G32" i="2" s="1"/>
  <c r="F33" i="2"/>
  <c r="G33" i="2" s="1"/>
  <c r="F34" i="2"/>
  <c r="G34" i="2" s="1"/>
  <c r="F35" i="2"/>
  <c r="G35" i="2" s="1"/>
  <c r="F36" i="2"/>
  <c r="G36" i="2" s="1"/>
  <c r="F37" i="2"/>
  <c r="F38" i="2"/>
  <c r="G38" i="2" s="1"/>
  <c r="F39" i="2"/>
  <c r="F40" i="2"/>
  <c r="F41" i="2"/>
  <c r="F42" i="2"/>
  <c r="G42" i="2" s="1"/>
  <c r="F43" i="2"/>
  <c r="F44" i="2"/>
  <c r="F45" i="2"/>
  <c r="F46" i="2"/>
  <c r="G46" i="2" s="1"/>
  <c r="F47" i="2"/>
  <c r="F48" i="2"/>
  <c r="F49" i="2"/>
  <c r="G49" i="2" s="1"/>
  <c r="F50" i="2"/>
  <c r="G50" i="2" s="1"/>
  <c r="F51" i="2"/>
  <c r="G51" i="2" s="1"/>
  <c r="F52" i="2"/>
  <c r="G52" i="2" s="1"/>
  <c r="F53" i="2"/>
  <c r="F54" i="2"/>
  <c r="G54" i="2" s="1"/>
  <c r="F55" i="2"/>
  <c r="G55" i="2" s="1"/>
  <c r="F56" i="2"/>
  <c r="G56" i="2" s="1"/>
  <c r="F57" i="2"/>
  <c r="F58" i="2"/>
  <c r="G58" i="2" s="1"/>
  <c r="F59" i="2"/>
  <c r="G59" i="2" s="1"/>
  <c r="F60" i="2"/>
  <c r="G60" i="2" s="1"/>
  <c r="F61" i="2"/>
  <c r="F62" i="2"/>
  <c r="G62" i="2" s="1"/>
  <c r="F63" i="2"/>
  <c r="G63" i="2" s="1"/>
  <c r="F64" i="2"/>
  <c r="G64" i="2" s="1"/>
  <c r="F65" i="2"/>
  <c r="F66" i="2"/>
  <c r="G66" i="2" s="1"/>
  <c r="F67" i="2"/>
  <c r="G67" i="2" s="1"/>
  <c r="F68" i="2"/>
  <c r="G68" i="2" s="1"/>
  <c r="F69" i="2"/>
  <c r="F70" i="2"/>
  <c r="G70" i="2" s="1"/>
  <c r="F71" i="2"/>
  <c r="G71" i="2" s="1"/>
  <c r="F2" i="2"/>
  <c r="G2" i="2" s="1"/>
  <c r="W45" i="1" l="1"/>
  <c r="G47" i="2"/>
  <c r="W41" i="1"/>
  <c r="G43" i="2"/>
  <c r="W37" i="1"/>
  <c r="G39" i="2"/>
  <c r="W32" i="1"/>
  <c r="G69" i="2"/>
  <c r="W28" i="1"/>
  <c r="G65" i="2"/>
  <c r="W24" i="1"/>
  <c r="G61" i="2"/>
  <c r="W20" i="1"/>
  <c r="G57" i="2"/>
  <c r="W16" i="1"/>
  <c r="G53" i="2"/>
  <c r="W43" i="1"/>
  <c r="G45" i="2"/>
  <c r="W39" i="1"/>
  <c r="G41" i="2"/>
  <c r="W35" i="1"/>
  <c r="G37" i="2"/>
  <c r="W46" i="1"/>
  <c r="G48" i="2"/>
  <c r="W42" i="1"/>
  <c r="G44" i="2"/>
  <c r="W38" i="1"/>
  <c r="G40" i="2"/>
  <c r="A15" i="1"/>
  <c r="I10" i="1" s="1"/>
  <c r="W33" i="1"/>
  <c r="W29" i="1"/>
  <c r="W25" i="1"/>
  <c r="W21" i="1"/>
  <c r="W17" i="1"/>
  <c r="W13" i="1"/>
  <c r="W12" i="1"/>
  <c r="W31" i="1"/>
  <c r="W27" i="1"/>
  <c r="W23" i="1"/>
  <c r="W19" i="1"/>
  <c r="W15" i="1"/>
  <c r="W34" i="1"/>
  <c r="W30" i="1"/>
  <c r="W26" i="1"/>
  <c r="W22" i="1"/>
  <c r="W18" i="1"/>
  <c r="W14" i="1"/>
  <c r="G12" i="1"/>
  <c r="I37" i="1" s="1"/>
  <c r="H10" i="1"/>
  <c r="I27" i="1"/>
  <c r="P72" i="1" l="1"/>
  <c r="O71" i="1"/>
  <c r="P70" i="1"/>
  <c r="O69" i="1"/>
  <c r="O70" i="1"/>
  <c r="N69" i="1"/>
  <c r="P71" i="1"/>
  <c r="O73" i="1"/>
  <c r="P73" i="1"/>
  <c r="O72" i="1"/>
  <c r="N71" i="1"/>
  <c r="P69" i="1"/>
  <c r="N73" i="1"/>
  <c r="N72" i="1"/>
  <c r="N70" i="1"/>
  <c r="I36" i="1"/>
  <c r="W73" i="1"/>
  <c r="S73" i="1"/>
  <c r="U72" i="1"/>
  <c r="Q72" i="1"/>
  <c r="W71" i="1"/>
  <c r="U70" i="1"/>
  <c r="W69" i="1"/>
  <c r="V73" i="1"/>
  <c r="R73" i="1"/>
  <c r="T72" i="1"/>
  <c r="V71" i="1"/>
  <c r="R71" i="1"/>
  <c r="T70" i="1"/>
  <c r="V69" i="1"/>
  <c r="R69" i="1"/>
  <c r="Q71" i="1"/>
  <c r="Q69" i="1"/>
  <c r="U73" i="1"/>
  <c r="Q73" i="1"/>
  <c r="W72" i="1"/>
  <c r="S72" i="1"/>
  <c r="U71" i="1"/>
  <c r="W70" i="1"/>
  <c r="S70" i="1"/>
  <c r="U69" i="1"/>
  <c r="T73" i="1"/>
  <c r="V72" i="1"/>
  <c r="R72" i="1"/>
  <c r="T71" i="1"/>
  <c r="V70" i="1"/>
  <c r="R70" i="1"/>
  <c r="T69" i="1"/>
  <c r="S71" i="1"/>
  <c r="Q70" i="1"/>
  <c r="S69" i="1"/>
  <c r="C40" i="1"/>
  <c r="C43" i="1" s="1"/>
  <c r="G46" i="1" s="1"/>
  <c r="I5" i="1" s="1"/>
  <c r="P30" i="1"/>
  <c r="P29" i="1"/>
  <c r="N37" i="1"/>
  <c r="N36" i="1"/>
  <c r="S35" i="1"/>
  <c r="N34" i="1"/>
  <c r="T28" i="1"/>
  <c r="Q15" i="1"/>
  <c r="Q14" i="1"/>
  <c r="P15" i="1"/>
  <c r="P14" i="1"/>
  <c r="N22" i="1"/>
  <c r="N21" i="1"/>
  <c r="S20" i="1"/>
  <c r="N19" i="1"/>
  <c r="A33" i="1" l="1"/>
  <c r="A34" i="1"/>
  <c r="C34" i="1" s="1"/>
  <c r="S28" i="1"/>
  <c r="G25" i="1" s="1"/>
  <c r="E34" i="1" l="1"/>
  <c r="O16" i="1"/>
  <c r="S16" i="1" s="1"/>
  <c r="O33" i="1" l="1"/>
  <c r="T33" i="1" s="1"/>
  <c r="S33" i="1" s="1"/>
  <c r="O18" i="1"/>
  <c r="T18" i="1" s="1"/>
  <c r="S18" i="1" s="1"/>
  <c r="O30" i="1"/>
  <c r="S30" i="1" s="1"/>
  <c r="O21" i="1"/>
  <c r="S21" i="1" s="1"/>
  <c r="O22" i="1"/>
  <c r="S22" i="1" s="1"/>
  <c r="S31" i="1"/>
  <c r="O37" i="1"/>
  <c r="O29" i="1"/>
  <c r="S29" i="1" s="1"/>
  <c r="I26" i="1"/>
  <c r="I31" i="1" s="1"/>
  <c r="O15" i="1"/>
  <c r="S15" i="1" s="1"/>
  <c r="O36" i="1"/>
  <c r="S36" i="1" s="1"/>
  <c r="O32" i="1"/>
  <c r="S32" i="1" s="1"/>
  <c r="O17" i="1"/>
  <c r="S17" i="1" s="1"/>
  <c r="O34" i="1"/>
  <c r="T34" i="1" s="1"/>
  <c r="S34" i="1" s="1"/>
  <c r="O19" i="1"/>
  <c r="T19" i="1" s="1"/>
  <c r="S19" i="1" s="1"/>
  <c r="O14" i="1"/>
  <c r="S14" i="1" s="1"/>
  <c r="S37" i="1" l="1"/>
  <c r="F34" i="1"/>
  <c r="A26" i="1"/>
  <c r="F26" i="1" s="1"/>
  <c r="A28" i="1"/>
  <c r="C28" i="1" s="1"/>
  <c r="A32" i="1"/>
  <c r="C33" i="1"/>
  <c r="A31" i="1"/>
  <c r="E31" i="1" s="1"/>
  <c r="A27" i="1"/>
  <c r="R30" i="1" s="1"/>
  <c r="A29" i="1"/>
  <c r="C29" i="1" s="1"/>
  <c r="A30" i="1"/>
  <c r="F30" i="1" s="1"/>
  <c r="I34" i="1" l="1"/>
  <c r="I35" i="1" s="1"/>
  <c r="I22" i="1"/>
  <c r="G32" i="1"/>
  <c r="C32" i="1"/>
  <c r="R29" i="1"/>
  <c r="C26" i="1" s="1"/>
  <c r="I38" i="1"/>
  <c r="E32" i="1"/>
  <c r="E26" i="1"/>
  <c r="G28" i="1"/>
  <c r="E28" i="1"/>
  <c r="F32" i="1"/>
  <c r="E27" i="1"/>
  <c r="G26" i="1"/>
  <c r="F28" i="1"/>
  <c r="E29" i="1"/>
  <c r="G33" i="1"/>
  <c r="G31" i="1"/>
  <c r="F29" i="1"/>
  <c r="E33" i="1"/>
  <c r="G29" i="1"/>
  <c r="F31" i="1"/>
  <c r="F33" i="1"/>
  <c r="C30" i="1"/>
  <c r="F27" i="1"/>
  <c r="E30" i="1"/>
  <c r="G27" i="1"/>
  <c r="G30" i="1"/>
  <c r="C27" i="1"/>
  <c r="G34" i="1"/>
  <c r="F35" i="1" l="1"/>
  <c r="E35" i="1"/>
  <c r="R38" i="1"/>
  <c r="G35" i="1"/>
  <c r="C7" i="1" s="1"/>
  <c r="G7" i="1" s="1"/>
  <c r="I4" i="1" s="1"/>
  <c r="I7" i="1" l="1"/>
</calcChain>
</file>

<file path=xl/sharedStrings.xml><?xml version="1.0" encoding="utf-8"?>
<sst xmlns="http://schemas.openxmlformats.org/spreadsheetml/2006/main" count="651" uniqueCount="242">
  <si>
    <t>Articulo</t>
  </si>
  <si>
    <t>PROCESOS</t>
  </si>
  <si>
    <t>Material</t>
  </si>
  <si>
    <t>Carton</t>
  </si>
  <si>
    <t>Articulos</t>
  </si>
  <si>
    <t>Id</t>
  </si>
  <si>
    <t>Envios</t>
  </si>
  <si>
    <t>Costo</t>
  </si>
  <si>
    <t>Precio unitario</t>
  </si>
  <si>
    <t>Merma</t>
  </si>
  <si>
    <t>Materiales</t>
  </si>
  <si>
    <t>Cantidad Solicitada</t>
  </si>
  <si>
    <t>Tiempo</t>
  </si>
  <si>
    <t xml:space="preserve">Caja corrugada sin impresión </t>
  </si>
  <si>
    <t>MATERIALES</t>
  </si>
  <si>
    <t>FLEXO</t>
  </si>
  <si>
    <t>CAIMAN</t>
  </si>
  <si>
    <t>PEGADO</t>
  </si>
  <si>
    <t>GRAPADO</t>
  </si>
  <si>
    <t>FLEJADO</t>
  </si>
  <si>
    <t>ENTARIMADO</t>
  </si>
  <si>
    <t>REFILADO</t>
  </si>
  <si>
    <t>RAYADO</t>
  </si>
  <si>
    <t>Arreglo</t>
  </si>
  <si>
    <t>Tiraje</t>
  </si>
  <si>
    <t>Personas</t>
  </si>
  <si>
    <t>IMPRESIÓN</t>
  </si>
  <si>
    <t>Cantidad a Producir</t>
  </si>
  <si>
    <t>Costo hr hombre</t>
  </si>
  <si>
    <t xml:space="preserve">Caja corrugada con impresión </t>
  </si>
  <si>
    <t>Caja sin impresión</t>
  </si>
  <si>
    <t>Caja con impresión</t>
  </si>
  <si>
    <t>Importe Total</t>
  </si>
  <si>
    <t>ENVIOS</t>
  </si>
  <si>
    <t>Unidad</t>
  </si>
  <si>
    <t>id</t>
  </si>
  <si>
    <t>Capacidad</t>
  </si>
  <si>
    <t>Costo x Viaje</t>
  </si>
  <si>
    <t>Isuzu</t>
  </si>
  <si>
    <t>Ford</t>
  </si>
  <si>
    <t>Kodiak</t>
  </si>
  <si>
    <t>Num Viaies</t>
  </si>
  <si>
    <t>Costo x Envio</t>
  </si>
  <si>
    <t>Medidas de Caja (cm)</t>
  </si>
  <si>
    <t>Carton Requerido</t>
  </si>
  <si>
    <t>x</t>
  </si>
  <si>
    <t>m2</t>
  </si>
  <si>
    <t>=</t>
  </si>
  <si>
    <t>Costo (m2)</t>
  </si>
  <si>
    <t>m2 totales</t>
  </si>
  <si>
    <t>Descripcion</t>
  </si>
  <si>
    <t>Especificacion</t>
  </si>
  <si>
    <t>Clasif</t>
  </si>
  <si>
    <t>CORRUGADO KRAFT-KRAFT FLAUTA C</t>
  </si>
  <si>
    <t xml:space="preserve">20 ECT </t>
  </si>
  <si>
    <t>Sencillo</t>
  </si>
  <si>
    <t>21 ECT</t>
  </si>
  <si>
    <t>23 ECT</t>
  </si>
  <si>
    <t>26 ECT</t>
  </si>
  <si>
    <t>29 ECT</t>
  </si>
  <si>
    <t>32 ECT</t>
  </si>
  <si>
    <t xml:space="preserve">35 ECT </t>
  </si>
  <si>
    <t>36 ECT</t>
  </si>
  <si>
    <t>40 ECT</t>
  </si>
  <si>
    <t>44 ECT</t>
  </si>
  <si>
    <t>55 ECT</t>
  </si>
  <si>
    <t>CORRUGADO SENCILLO BLANCO-KRAFT FLAUTA C</t>
  </si>
  <si>
    <t>DOBLE CORRUGADO KRAFT-KRAFT FLAUTA BC</t>
  </si>
  <si>
    <t>Doble</t>
  </si>
  <si>
    <t>39 ECT</t>
  </si>
  <si>
    <t>42 ECT</t>
  </si>
  <si>
    <t xml:space="preserve">46 ECT </t>
  </si>
  <si>
    <t>48 ECT</t>
  </si>
  <si>
    <t>51 ECT</t>
  </si>
  <si>
    <t xml:space="preserve">52 ECT </t>
  </si>
  <si>
    <t>61 ECT</t>
  </si>
  <si>
    <t>DOBLE CORRUGADO BLANCO-KRAFT FLAUTA BC</t>
  </si>
  <si>
    <t>33 ECT</t>
  </si>
  <si>
    <t>CORRUGADO SENCILLO KRAFT-KRAFT FLAUTA B</t>
  </si>
  <si>
    <t>CORRUGADO SENCILLO BLANCO-KRAFT FLAUTA B</t>
  </si>
  <si>
    <t>MICROCORRUGADO KRAFT-KRAFT FLAUTA E</t>
  </si>
  <si>
    <t>MICROCORRUGADO BLANCO-KRAFT FLAUTA E</t>
  </si>
  <si>
    <t>SINGLE FACE KRAFT-KRAFT FLAUTA E</t>
  </si>
  <si>
    <t>LN112/PM112</t>
  </si>
  <si>
    <t>Single</t>
  </si>
  <si>
    <t>LN140/PM112</t>
  </si>
  <si>
    <t>LN140/PM140</t>
  </si>
  <si>
    <t>SINGLE FACE BLANCO-KRAFT FLAUTA E</t>
  </si>
  <si>
    <t>LN150/PM120</t>
  </si>
  <si>
    <t>SINGLE FACE BLANCO- BLANCO FLAUTA E</t>
  </si>
  <si>
    <t>LN150/PM150</t>
  </si>
  <si>
    <t>SINGLE FACE KRAFT-KRAFT FLAUTA F</t>
  </si>
  <si>
    <t>LN180/PM112</t>
  </si>
  <si>
    <t>SINGLE FACE BLANCO-KRAFT FLAUTA F</t>
  </si>
  <si>
    <t>SINGLE FACE BLANCO- BLANCO FLAUTA F</t>
  </si>
  <si>
    <t>SINGLE FACE KRAFT-KRAFT FLAUTA B</t>
  </si>
  <si>
    <t>LN140/PM120</t>
  </si>
  <si>
    <t>LN180/PM120</t>
  </si>
  <si>
    <t>LN180/PM140</t>
  </si>
  <si>
    <t>SINGLE FACE BLANCO-KRAFT FLAUTA B</t>
  </si>
  <si>
    <t>SINGLE FACE BLANCO- BLANCO FLAUTA B</t>
  </si>
  <si>
    <t>SINGLE FACE KRAFT-KRAFT FLAUTA C</t>
  </si>
  <si>
    <t>LN205/PM140</t>
  </si>
  <si>
    <t>Tipo Material</t>
  </si>
  <si>
    <t>Costo X m2</t>
  </si>
  <si>
    <t>Tipo</t>
  </si>
  <si>
    <t>DescCompleta</t>
  </si>
  <si>
    <t>Largo (cm)</t>
  </si>
  <si>
    <t>Ancho (cm)</t>
  </si>
  <si>
    <t># Tintas</t>
  </si>
  <si>
    <t>Ceja Pegue (cm)</t>
  </si>
  <si>
    <t>Frente (cm)</t>
  </si>
  <si>
    <t>Fondo (cm)</t>
  </si>
  <si>
    <t>Altura (cm)</t>
  </si>
  <si>
    <t>Margen</t>
  </si>
  <si>
    <t>Margen (%)</t>
  </si>
  <si>
    <t>Importe</t>
  </si>
  <si>
    <t>Costo de cirel (cm2)</t>
  </si>
  <si>
    <t>cm de suaje</t>
  </si>
  <si>
    <t>Costo de Suaje (cm)</t>
  </si>
  <si>
    <t>Consumo tinta (kg)</t>
  </si>
  <si>
    <t>Costo Tinta (kg)</t>
  </si>
  <si>
    <t>Costo tinta</t>
  </si>
  <si>
    <t>Factor tinta</t>
  </si>
  <si>
    <t>l/cm2</t>
  </si>
  <si>
    <t>desde</t>
  </si>
  <si>
    <t>hasta</t>
  </si>
  <si>
    <t>CAJAS SIN IMPRESIÓN</t>
  </si>
  <si>
    <t>RANURADA ESTANDAR A LA MEDIDA FLEXO PEGADA</t>
  </si>
  <si>
    <t>RANURADA ESTANDAR A LA MEDIDA FLEXO GRAPADA</t>
  </si>
  <si>
    <t>RANURADA ESTANDAR  A LA MEDIDA CAIMAN (MENOS DE 13 CM EN FONDO) PEGADA</t>
  </si>
  <si>
    <t>RANURADA ESTANDAR REFILADA FLEXO PEGADA</t>
  </si>
  <si>
    <t>RANURADA ESTANDAR REFILADA FLEXO GRAPADA</t>
  </si>
  <si>
    <t>RANURADA ESTANDAR REFILADA CAIMAN (MENOS DE 13 CM EN FONDO) PEGADA</t>
  </si>
  <si>
    <t xml:space="preserve">AUTOARMADA A LA MEDIDA </t>
  </si>
  <si>
    <t>AUTOARMADA REFILADA</t>
  </si>
  <si>
    <t>AUTOARMADO(SUAJADA)</t>
  </si>
  <si>
    <t>RANURADA ESTANDAR  A LA MEDIDA CAIMAN (MENOS DE 13 CM EN FONDO) GRAPADA</t>
  </si>
  <si>
    <t>RANURADA ESTANDAR REFILADA CAIMAN (MENOS DE 13 CM EN FONDO) GRAPADA</t>
  </si>
  <si>
    <t>CAJAS CON IMPRESIÓN</t>
  </si>
  <si>
    <t>&gt; 700</t>
  </si>
  <si>
    <t>&lt;= 700</t>
  </si>
  <si>
    <t>Tipo de Producto</t>
  </si>
  <si>
    <t>Tpo de Producto</t>
  </si>
  <si>
    <t>MERMA</t>
  </si>
  <si>
    <t>ARREGLO</t>
  </si>
  <si>
    <t>TIRO</t>
  </si>
  <si>
    <t>COSTO UNITARIO</t>
  </si>
  <si>
    <t>TIEMPO</t>
  </si>
  <si>
    <t>Costo Cirel</t>
  </si>
  <si>
    <t>m2 requeridos</t>
  </si>
  <si>
    <t>Capacidad x Viaje</t>
  </si>
  <si>
    <t>Costo carton</t>
  </si>
  <si>
    <t>Costo suaje</t>
  </si>
  <si>
    <t>SUAJADO</t>
  </si>
  <si>
    <t>Tipo Suajado</t>
  </si>
  <si>
    <t>Manual</t>
  </si>
  <si>
    <t>Automatico</t>
  </si>
  <si>
    <t>FLEXO RANURADO</t>
  </si>
  <si>
    <t>cm2/caja/tinta</t>
  </si>
  <si>
    <t>total cm2/caja</t>
  </si>
  <si>
    <t>Area de impresión</t>
  </si>
  <si>
    <t>Tinta 1</t>
  </si>
  <si>
    <t>Tinta 2</t>
  </si>
  <si>
    <t>Tinta 3</t>
  </si>
  <si>
    <t>Tinta 4</t>
  </si>
  <si>
    <t>Cantidad a enviar</t>
  </si>
  <si>
    <t>Total Enviado (pzas)</t>
  </si>
  <si>
    <t>Diferencia VS  Pedido</t>
  </si>
  <si>
    <t>Costo:</t>
  </si>
  <si>
    <t>EMPALME</t>
  </si>
  <si>
    <t>DESBARBE</t>
  </si>
  <si>
    <t>Largo</t>
  </si>
  <si>
    <t>Ancho</t>
  </si>
  <si>
    <t>Clasificacion</t>
  </si>
  <si>
    <t>Clasificacion2</t>
  </si>
  <si>
    <t>COSTO DE MAQUILA PARA CARTON SINGLE(E,F,B,C), MICRO E, FLAUTA B Y C</t>
  </si>
  <si>
    <t>PROCESO</t>
  </si>
  <si>
    <t>MEDIDAS MAXIMAS EXTENDIDAS(CM)</t>
  </si>
  <si>
    <t>MEDIDAS MINIMAS EXTENDIDAS (CM)</t>
  </si>
  <si>
    <t>UNIDAD</t>
  </si>
  <si>
    <t>SINGLE E,F,B,C</t>
  </si>
  <si>
    <t>130X120</t>
  </si>
  <si>
    <t>40X40</t>
  </si>
  <si>
    <t>M2</t>
  </si>
  <si>
    <t>SUAJADO AUTOMATICO</t>
  </si>
  <si>
    <t>SINGLE FACE(F,E,B) EMPALMADO SOBRE CAPLE O SUFALTADA</t>
  </si>
  <si>
    <t>103X75</t>
  </si>
  <si>
    <t>45X36</t>
  </si>
  <si>
    <t>MILLAR</t>
  </si>
  <si>
    <t>MICRO E</t>
  </si>
  <si>
    <t>SUAJADO MANUAL</t>
  </si>
  <si>
    <t>SINGLE FACE(F,E,B) EMPALMADO SOBRE CAPLE O SUFALTADA, MICRO E CORRUGADO B,C,BC</t>
  </si>
  <si>
    <t>150X105</t>
  </si>
  <si>
    <t>42X32</t>
  </si>
  <si>
    <t>ARREGLO DE SUAJE</t>
  </si>
  <si>
    <t>---</t>
  </si>
  <si>
    <t>PEGUE LINEAL EN MAQUINA</t>
  </si>
  <si>
    <t>EMPALMADOS CON SINGLE (E,F,B,C),</t>
  </si>
  <si>
    <t xml:space="preserve">MICRO E </t>
  </si>
  <si>
    <t>FLAUTA B,C,BC</t>
  </si>
  <si>
    <t>PEGUE FONDO AUTOMATICO EN MAQUINA</t>
  </si>
  <si>
    <t>EMPALMADOS CON SINGLE (E,F,B,C),MICRO E</t>
  </si>
  <si>
    <t>ARREGLO DE PEGUE</t>
  </si>
  <si>
    <t>PEGUE MANUAL</t>
  </si>
  <si>
    <t xml:space="preserve">MANUAL DE DOS PARTES A Y B POR MILLAR, </t>
  </si>
  <si>
    <t>EMPAQUE</t>
  </si>
  <si>
    <t>PREDOBLEZ MANUAL</t>
  </si>
  <si>
    <t>EMPALMADOS CON SINGLE (E,F,B,C), MICRO E</t>
  </si>
  <si>
    <t>MAQUILA DE PRECIOS CAPLES Y SULFATADAS</t>
  </si>
  <si>
    <t>TIPO</t>
  </si>
  <si>
    <t>MEDIDA CEJA DE PEGUE</t>
  </si>
  <si>
    <t>PRECIO POR MILLAR</t>
  </si>
  <si>
    <t>Med maxima</t>
  </si>
  <si>
    <t>Medida minima</t>
  </si>
  <si>
    <t>Suajado con maquina Automatica</t>
  </si>
  <si>
    <t>Varios</t>
  </si>
  <si>
    <t>Suajado con maquina Manual</t>
  </si>
  <si>
    <t>Arreglo de Suaje</t>
  </si>
  <si>
    <t>-</t>
  </si>
  <si>
    <t>Desbarbe</t>
  </si>
  <si>
    <t>Pegado lineal</t>
  </si>
  <si>
    <t>10 cm ceja de pegue</t>
  </si>
  <si>
    <t>20 cm ceja de pegue</t>
  </si>
  <si>
    <t>30 cm ceja de pegue</t>
  </si>
  <si>
    <t>Pegado fondo Automático</t>
  </si>
  <si>
    <t>Arreglo de pegado</t>
  </si>
  <si>
    <t>ESTOS PRECIOS NO INCLUYEN TARIMAS, CORRUGADO, NI FLETE</t>
  </si>
  <si>
    <t>PRECIO NORMAL</t>
  </si>
  <si>
    <t>PRECIO ESPECIAL</t>
  </si>
  <si>
    <t>$ x Unidad</t>
  </si>
  <si>
    <t>PZA</t>
  </si>
  <si>
    <t>FACTOR</t>
  </si>
  <si>
    <t>Med minima</t>
  </si>
  <si>
    <t>Med Máxima</t>
  </si>
  <si>
    <t>PRECIO CAPLES Y SULF</t>
  </si>
  <si>
    <t>MERMA (1/1000)</t>
  </si>
  <si>
    <t>Med.Valida?</t>
  </si>
  <si>
    <t>COTIZADOR DE MAQUILAS</t>
  </si>
  <si>
    <t>Min.Largo</t>
  </si>
  <si>
    <t>Max.Largo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</si>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</sst>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-&quot;$&quot;* #,##0.0000_-;\-&quot;$&quot;* #,##0.0000_-;_-&quot;$&quot;* &quot;-&quot;??_-;_-@_-"/>
    <numFmt numFmtId="166" formatCode="_-* #,##0.0000_-;\-* #,##0.0000_-;_-* &quot;-&quot;??_-;_-@_-"/>
    <numFmt numFmtId="167" formatCode="&quot;$&quot;#,##0.00"/>
    <numFmt numFmtId="168" formatCode="&quot;$&quot;#,##0.00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8"/>
      <color rgb="FF000000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66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4506668294322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5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4" borderId="0" xfId="0" applyFill="1"/>
    <xf numFmtId="0" fontId="0" fillId="4" borderId="2" xfId="0" applyFill="1" applyBorder="1"/>
    <xf numFmtId="0" fontId="4" fillId="4" borderId="0" xfId="0" applyFont="1" applyFill="1" applyAlignment="1">
      <alignment horizontal="center"/>
    </xf>
    <xf numFmtId="0" fontId="0" fillId="4" borderId="2" xfId="0" applyFill="1" applyBorder="1" applyAlignment="1">
      <alignment horizontal="center"/>
    </xf>
    <xf numFmtId="44" fontId="0" fillId="4" borderId="2" xfId="2" applyFont="1" applyFill="1" applyBorder="1"/>
    <xf numFmtId="0" fontId="3" fillId="4" borderId="0" xfId="0" applyFont="1" applyFill="1" applyBorder="1" applyAlignment="1"/>
    <xf numFmtId="0" fontId="0" fillId="2" borderId="0" xfId="0" applyFill="1" applyAlignment="1">
      <alignment horizontal="center"/>
    </xf>
    <xf numFmtId="0" fontId="0" fillId="2" borderId="0" xfId="0" applyFill="1" applyBorder="1"/>
    <xf numFmtId="44" fontId="0" fillId="2" borderId="0" xfId="2" applyFont="1" applyFill="1" applyBorder="1"/>
    <xf numFmtId="44" fontId="0" fillId="2" borderId="0" xfId="0" applyNumberFormat="1" applyFont="1" applyFill="1" applyBorder="1"/>
    <xf numFmtId="43" fontId="0" fillId="2" borderId="0" xfId="1" applyFont="1" applyFill="1" applyBorder="1" applyAlignment="1">
      <alignment horizontal="center"/>
    </xf>
    <xf numFmtId="9" fontId="0" fillId="2" borderId="0" xfId="3" applyFont="1" applyFill="1" applyBorder="1"/>
    <xf numFmtId="0" fontId="0" fillId="4" borderId="0" xfId="0" applyFill="1" applyAlignment="1">
      <alignment horizontal="center"/>
    </xf>
    <xf numFmtId="0" fontId="0" fillId="4" borderId="0" xfId="0" applyFill="1" applyBorder="1"/>
    <xf numFmtId="0" fontId="4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43" fontId="0" fillId="4" borderId="20" xfId="1" applyNumberFormat="1" applyFont="1" applyFill="1" applyBorder="1"/>
    <xf numFmtId="43" fontId="0" fillId="4" borderId="12" xfId="1" applyNumberFormat="1" applyFont="1" applyFill="1" applyBorder="1"/>
    <xf numFmtId="0" fontId="0" fillId="4" borderId="0" xfId="0" applyFill="1" applyBorder="1" applyAlignment="1">
      <alignment horizontal="right"/>
    </xf>
    <xf numFmtId="2" fontId="0" fillId="4" borderId="0" xfId="0" applyNumberFormat="1" applyFill="1" applyBorder="1" applyAlignment="1"/>
    <xf numFmtId="44" fontId="0" fillId="4" borderId="24" xfId="0" applyNumberFormat="1" applyFill="1" applyBorder="1"/>
    <xf numFmtId="44" fontId="0" fillId="4" borderId="9" xfId="0" applyNumberFormat="1" applyFill="1" applyBorder="1"/>
    <xf numFmtId="0" fontId="0" fillId="4" borderId="25" xfId="0" applyFill="1" applyBorder="1"/>
    <xf numFmtId="0" fontId="0" fillId="4" borderId="26" xfId="0" applyFill="1" applyBorder="1"/>
    <xf numFmtId="43" fontId="0" fillId="4" borderId="14" xfId="1" applyNumberFormat="1" applyFont="1" applyFill="1" applyBorder="1"/>
    <xf numFmtId="44" fontId="3" fillId="4" borderId="3" xfId="2" applyFont="1" applyFill="1" applyBorder="1"/>
    <xf numFmtId="44" fontId="0" fillId="4" borderId="5" xfId="0" applyNumberFormat="1" applyFill="1" applyBorder="1"/>
    <xf numFmtId="0" fontId="0" fillId="2" borderId="0" xfId="0" applyFill="1" applyBorder="1" applyAlignment="1">
      <alignment horizontal="center"/>
    </xf>
    <xf numFmtId="44" fontId="0" fillId="3" borderId="3" xfId="2" applyFont="1" applyFill="1" applyBorder="1"/>
    <xf numFmtId="0" fontId="4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vertical="center" wrapText="1"/>
    </xf>
    <xf numFmtId="0" fontId="0" fillId="4" borderId="4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3" fillId="5" borderId="0" xfId="0" applyFont="1" applyFill="1" applyBorder="1"/>
    <xf numFmtId="0" fontId="3" fillId="5" borderId="0" xfId="0" applyFont="1" applyFill="1" applyBorder="1" applyAlignment="1">
      <alignment horizontal="left"/>
    </xf>
    <xf numFmtId="165" fontId="3" fillId="5" borderId="0" xfId="2" applyNumberFormat="1" applyFont="1" applyFill="1" applyBorder="1"/>
    <xf numFmtId="0" fontId="0" fillId="6" borderId="0" xfId="0" applyFont="1" applyFill="1" applyBorder="1"/>
    <xf numFmtId="0" fontId="0" fillId="6" borderId="0" xfId="0" applyFill="1" applyBorder="1"/>
    <xf numFmtId="0" fontId="0" fillId="6" borderId="0" xfId="0" applyFont="1" applyFill="1" applyBorder="1" applyAlignment="1">
      <alignment horizontal="left" wrapText="1"/>
    </xf>
    <xf numFmtId="0" fontId="0" fillId="6" borderId="0" xfId="0" applyFont="1" applyFill="1" applyBorder="1" applyAlignment="1">
      <alignment horizontal="left"/>
    </xf>
    <xf numFmtId="165" fontId="0" fillId="6" borderId="0" xfId="0" applyNumberFormat="1" applyFont="1" applyFill="1" applyBorder="1"/>
    <xf numFmtId="0" fontId="0" fillId="6" borderId="0" xfId="0" applyFont="1" applyFill="1" applyBorder="1" applyAlignment="1">
      <alignment horizontal="left" vertical="center" wrapText="1"/>
    </xf>
    <xf numFmtId="0" fontId="0" fillId="7" borderId="0" xfId="0" applyFont="1" applyFill="1" applyBorder="1"/>
    <xf numFmtId="0" fontId="0" fillId="7" borderId="0" xfId="0" applyFill="1" applyBorder="1"/>
    <xf numFmtId="0" fontId="0" fillId="7" borderId="0" xfId="0" applyFont="1" applyFill="1" applyBorder="1" applyAlignment="1">
      <alignment horizontal="left" vertical="center" wrapText="1"/>
    </xf>
    <xf numFmtId="0" fontId="0" fillId="7" borderId="0" xfId="0" applyFont="1" applyFill="1" applyBorder="1" applyAlignment="1">
      <alignment horizontal="left"/>
    </xf>
    <xf numFmtId="165" fontId="0" fillId="7" borderId="0" xfId="0" applyNumberFormat="1" applyFont="1" applyFill="1" applyBorder="1"/>
    <xf numFmtId="0" fontId="0" fillId="7" borderId="0" xfId="0" applyFont="1" applyFill="1" applyBorder="1" applyAlignment="1">
      <alignment horizontal="left" wrapText="1"/>
    </xf>
    <xf numFmtId="0" fontId="0" fillId="8" borderId="0" xfId="0" applyFont="1" applyFill="1" applyBorder="1"/>
    <xf numFmtId="0" fontId="0" fillId="8" borderId="0" xfId="0" applyFont="1" applyFill="1" applyBorder="1" applyAlignment="1">
      <alignment horizontal="left" wrapText="1"/>
    </xf>
    <xf numFmtId="0" fontId="0" fillId="8" borderId="0" xfId="0" applyFont="1" applyFill="1" applyBorder="1" applyAlignment="1">
      <alignment horizontal="left"/>
    </xf>
    <xf numFmtId="165" fontId="0" fillId="8" borderId="0" xfId="0" applyNumberFormat="1" applyFont="1" applyFill="1" applyBorder="1"/>
    <xf numFmtId="0" fontId="0" fillId="8" borderId="0" xfId="0" applyFill="1" applyBorder="1"/>
    <xf numFmtId="0" fontId="0" fillId="3" borderId="3" xfId="0" applyFill="1" applyBorder="1" applyAlignment="1">
      <alignment horizontal="center"/>
    </xf>
    <xf numFmtId="44" fontId="0" fillId="4" borderId="3" xfId="0" applyNumberFormat="1" applyFill="1" applyBorder="1"/>
    <xf numFmtId="44" fontId="0" fillId="4" borderId="0" xfId="0" applyNumberFormat="1" applyFill="1" applyBorder="1"/>
    <xf numFmtId="0" fontId="0" fillId="9" borderId="25" xfId="0" applyFill="1" applyBorder="1"/>
    <xf numFmtId="0" fontId="0" fillId="9" borderId="19" xfId="0" applyFill="1" applyBorder="1"/>
    <xf numFmtId="43" fontId="0" fillId="9" borderId="12" xfId="1" applyNumberFormat="1" applyFont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5" xfId="0" applyFill="1" applyBorder="1"/>
    <xf numFmtId="44" fontId="0" fillId="9" borderId="5" xfId="0" applyNumberFormat="1" applyFill="1" applyBorder="1"/>
    <xf numFmtId="0" fontId="0" fillId="9" borderId="28" xfId="0" applyFill="1" applyBorder="1"/>
    <xf numFmtId="44" fontId="0" fillId="9" borderId="29" xfId="0" applyNumberFormat="1" applyFill="1" applyBorder="1"/>
    <xf numFmtId="0" fontId="0" fillId="4" borderId="31" xfId="0" applyFill="1" applyBorder="1"/>
    <xf numFmtId="0" fontId="0" fillId="4" borderId="28" xfId="0" applyFill="1" applyBorder="1"/>
    <xf numFmtId="0" fontId="0" fillId="4" borderId="32" xfId="0" applyFill="1" applyBorder="1"/>
    <xf numFmtId="0" fontId="2" fillId="2" borderId="0" xfId="0" applyFont="1" applyFill="1" applyAlignment="1"/>
    <xf numFmtId="43" fontId="5" fillId="2" borderId="0" xfId="1" applyFont="1" applyFill="1" applyBorder="1" applyAlignment="1">
      <alignment horizontal="center"/>
    </xf>
    <xf numFmtId="0" fontId="2" fillId="2" borderId="0" xfId="0" applyFont="1" applyFill="1" applyBorder="1" applyAlignment="1"/>
    <xf numFmtId="43" fontId="0" fillId="2" borderId="0" xfId="1" applyFont="1" applyFill="1" applyBorder="1"/>
    <xf numFmtId="0" fontId="8" fillId="2" borderId="0" xfId="0" applyFont="1" applyFill="1" applyAlignment="1">
      <alignment horizontal="left"/>
    </xf>
    <xf numFmtId="0" fontId="4" fillId="4" borderId="0" xfId="0" applyFont="1" applyFill="1" applyBorder="1" applyAlignment="1">
      <alignment horizontal="left"/>
    </xf>
    <xf numFmtId="0" fontId="4" fillId="3" borderId="3" xfId="0" applyFont="1" applyFill="1" applyBorder="1" applyAlignment="1">
      <alignment horizontal="right"/>
    </xf>
    <xf numFmtId="164" fontId="0" fillId="4" borderId="2" xfId="1" applyNumberFormat="1" applyFont="1" applyFill="1" applyBorder="1" applyAlignment="1">
      <alignment horizontal="right"/>
    </xf>
    <xf numFmtId="164" fontId="0" fillId="4" borderId="2" xfId="1" applyNumberFormat="1" applyFont="1" applyFill="1" applyBorder="1"/>
    <xf numFmtId="164" fontId="4" fillId="4" borderId="2" xfId="1" applyNumberFormat="1" applyFont="1" applyFill="1" applyBorder="1" applyAlignment="1">
      <alignment horizontal="right"/>
    </xf>
    <xf numFmtId="0" fontId="0" fillId="5" borderId="0" xfId="0" applyFill="1"/>
    <xf numFmtId="0" fontId="0" fillId="4" borderId="2" xfId="0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5" borderId="0" xfId="0" applyFill="1" applyAlignment="1">
      <alignment vertical="center" textRotation="90" wrapText="1"/>
    </xf>
    <xf numFmtId="0" fontId="0" fillId="2" borderId="0" xfId="0" applyFill="1" applyAlignment="1">
      <alignment horizontal="right" vertical="center" wrapText="1"/>
    </xf>
    <xf numFmtId="0" fontId="11" fillId="2" borderId="0" xfId="0" applyFont="1" applyFill="1" applyAlignment="1">
      <alignment horizontal="right"/>
    </xf>
    <xf numFmtId="0" fontId="0" fillId="4" borderId="0" xfId="0" applyFont="1" applyFill="1" applyBorder="1" applyAlignment="1">
      <alignment horizontal="right"/>
    </xf>
    <xf numFmtId="0" fontId="13" fillId="4" borderId="10" xfId="0" applyFont="1" applyFill="1" applyBorder="1" applyAlignment="1">
      <alignment vertical="center" wrapText="1"/>
    </xf>
    <xf numFmtId="0" fontId="0" fillId="4" borderId="2" xfId="0" applyNumberForma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5" borderId="33" xfId="0" applyFill="1" applyBorder="1" applyAlignment="1">
      <alignment vertical="center" textRotation="90" wrapText="1"/>
    </xf>
    <xf numFmtId="0" fontId="0" fillId="10" borderId="0" xfId="0" applyFill="1" applyAlignment="1">
      <alignment vertical="center" textRotation="90" wrapText="1"/>
    </xf>
    <xf numFmtId="0" fontId="14" fillId="2" borderId="0" xfId="0" applyFont="1" applyFill="1" applyAlignment="1">
      <alignment horizontal="right"/>
    </xf>
    <xf numFmtId="0" fontId="0" fillId="4" borderId="2" xfId="0" applyFill="1" applyBorder="1" applyAlignment="1">
      <alignment horizontal="center"/>
    </xf>
    <xf numFmtId="2" fontId="0" fillId="9" borderId="19" xfId="0" applyNumberFormat="1" applyFill="1" applyBorder="1"/>
    <xf numFmtId="2" fontId="0" fillId="4" borderId="19" xfId="0" applyNumberFormat="1" applyFill="1" applyBorder="1"/>
    <xf numFmtId="2" fontId="0" fillId="4" borderId="27" xfId="0" applyNumberFormat="1" applyFill="1" applyBorder="1"/>
    <xf numFmtId="10" fontId="7" fillId="4" borderId="0" xfId="3" applyNumberFormat="1" applyFont="1" applyFill="1" applyBorder="1" applyAlignment="1">
      <alignment horizontal="center"/>
    </xf>
    <xf numFmtId="167" fontId="11" fillId="4" borderId="0" xfId="2" applyNumberFormat="1" applyFont="1" applyFill="1" applyBorder="1" applyAlignment="1">
      <alignment horizontal="right"/>
    </xf>
    <xf numFmtId="168" fontId="12" fillId="13" borderId="0" xfId="2" applyNumberFormat="1" applyFont="1" applyFill="1" applyBorder="1" applyAlignment="1">
      <alignment vertical="center" wrapText="1"/>
    </xf>
    <xf numFmtId="43" fontId="0" fillId="5" borderId="0" xfId="0" applyNumberForma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4" fontId="0" fillId="2" borderId="0" xfId="0" applyNumberFormat="1" applyFill="1" applyBorder="1"/>
    <xf numFmtId="164" fontId="0" fillId="2" borderId="0" xfId="1" applyNumberFormat="1" applyFont="1" applyFill="1" applyBorder="1"/>
    <xf numFmtId="0" fontId="0" fillId="2" borderId="35" xfId="0" applyFill="1" applyBorder="1" applyAlignment="1">
      <alignment horizontal="center"/>
    </xf>
    <xf numFmtId="0" fontId="0" fillId="2" borderId="38" xfId="0" applyFill="1" applyBorder="1" applyAlignment="1">
      <alignment horizontal="right"/>
    </xf>
    <xf numFmtId="164" fontId="0" fillId="2" borderId="39" xfId="0" applyNumberFormat="1" applyFill="1" applyBorder="1"/>
    <xf numFmtId="43" fontId="10" fillId="2" borderId="39" xfId="0" applyNumberFormat="1" applyFont="1" applyFill="1" applyBorder="1"/>
    <xf numFmtId="44" fontId="0" fillId="2" borderId="39" xfId="2" applyNumberFormat="1" applyFont="1" applyFill="1" applyBorder="1"/>
    <xf numFmtId="0" fontId="0" fillId="2" borderId="38" xfId="0" applyFill="1" applyBorder="1"/>
    <xf numFmtId="0" fontId="0" fillId="2" borderId="39" xfId="0" applyFill="1" applyBorder="1"/>
    <xf numFmtId="166" fontId="0" fillId="2" borderId="39" xfId="1" applyNumberFormat="1" applyFont="1" applyFill="1" applyBorder="1"/>
    <xf numFmtId="44" fontId="0" fillId="2" borderId="39" xfId="0" applyNumberFormat="1" applyFill="1" applyBorder="1"/>
    <xf numFmtId="0" fontId="0" fillId="2" borderId="40" xfId="0" applyFill="1" applyBorder="1" applyAlignment="1">
      <alignment horizontal="right"/>
    </xf>
    <xf numFmtId="0" fontId="2" fillId="15" borderId="36" xfId="0" applyFont="1" applyFill="1" applyBorder="1" applyAlignment="1"/>
    <xf numFmtId="0" fontId="15" fillId="2" borderId="41" xfId="0" applyFont="1" applyFill="1" applyBorder="1" applyAlignment="1"/>
    <xf numFmtId="0" fontId="15" fillId="2" borderId="41" xfId="0" applyFont="1" applyFill="1" applyBorder="1" applyAlignment="1">
      <alignment horizontal="center"/>
    </xf>
    <xf numFmtId="0" fontId="15" fillId="2" borderId="37" xfId="0" applyFont="1" applyFill="1" applyBorder="1" applyAlignment="1">
      <alignment horizontal="center"/>
    </xf>
    <xf numFmtId="44" fontId="1" fillId="2" borderId="39" xfId="2" applyFont="1" applyFill="1" applyBorder="1" applyAlignment="1">
      <alignment horizontal="right"/>
    </xf>
    <xf numFmtId="44" fontId="0" fillId="2" borderId="39" xfId="2" applyFont="1" applyFill="1" applyBorder="1"/>
    <xf numFmtId="0" fontId="0" fillId="2" borderId="35" xfId="0" applyFill="1" applyBorder="1"/>
    <xf numFmtId="43" fontId="0" fillId="2" borderId="39" xfId="0" applyNumberFormat="1" applyFill="1" applyBorder="1" applyAlignment="1">
      <alignment horizontal="center"/>
    </xf>
    <xf numFmtId="0" fontId="0" fillId="2" borderId="38" xfId="0" applyFill="1" applyBorder="1" applyAlignment="1">
      <alignment vertical="center"/>
    </xf>
    <xf numFmtId="164" fontId="0" fillId="2" borderId="0" xfId="1" applyNumberFormat="1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43" fontId="0" fillId="2" borderId="0" xfId="1" applyFont="1" applyFill="1" applyBorder="1" applyAlignment="1">
      <alignment vertical="center"/>
    </xf>
    <xf numFmtId="44" fontId="0" fillId="2" borderId="39" xfId="2" applyFont="1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44" fontId="0" fillId="2" borderId="39" xfId="0" applyNumberForma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9" borderId="25" xfId="0" applyFill="1" applyBorder="1" applyAlignment="1">
      <alignment vertical="center"/>
    </xf>
    <xf numFmtId="2" fontId="0" fillId="9" borderId="19" xfId="0" applyNumberFormat="1" applyFill="1" applyBorder="1" applyAlignment="1">
      <alignment vertical="center"/>
    </xf>
    <xf numFmtId="43" fontId="0" fillId="9" borderId="12" xfId="1" applyNumberFormat="1" applyFont="1" applyFill="1" applyBorder="1" applyAlignment="1">
      <alignment vertical="center"/>
    </xf>
    <xf numFmtId="0" fontId="0" fillId="9" borderId="11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0" fontId="0" fillId="9" borderId="5" xfId="0" applyFill="1" applyBorder="1" applyAlignment="1">
      <alignment vertical="center"/>
    </xf>
    <xf numFmtId="44" fontId="0" fillId="9" borderId="5" xfId="0" applyNumberFormat="1" applyFill="1" applyBorder="1" applyAlignment="1">
      <alignment vertical="center"/>
    </xf>
    <xf numFmtId="0" fontId="0" fillId="4" borderId="2" xfId="0" applyFill="1" applyBorder="1" applyAlignment="1">
      <alignment horizontal="center" vertical="center"/>
    </xf>
    <xf numFmtId="44" fontId="0" fillId="4" borderId="2" xfId="2" applyFont="1" applyFill="1" applyBorder="1" applyAlignment="1">
      <alignment vertical="center"/>
    </xf>
    <xf numFmtId="0" fontId="0" fillId="2" borderId="10" xfId="0" applyFill="1" applyBorder="1"/>
    <xf numFmtId="164" fontId="3" fillId="2" borderId="42" xfId="0" applyNumberFormat="1" applyFont="1" applyFill="1" applyBorder="1"/>
    <xf numFmtId="0" fontId="0" fillId="2" borderId="42" xfId="0" applyFill="1" applyBorder="1"/>
    <xf numFmtId="43" fontId="3" fillId="2" borderId="42" xfId="0" applyNumberFormat="1" applyFont="1" applyFill="1" applyBorder="1"/>
    <xf numFmtId="43" fontId="3" fillId="2" borderId="42" xfId="1" applyNumberFormat="1" applyFont="1" applyFill="1" applyBorder="1" applyAlignment="1">
      <alignment horizontal="center"/>
    </xf>
    <xf numFmtId="44" fontId="3" fillId="15" borderId="4" xfId="2" applyNumberFormat="1" applyFont="1" applyFill="1" applyBorder="1"/>
    <xf numFmtId="0" fontId="0" fillId="2" borderId="10" xfId="0" applyFill="1" applyBorder="1" applyAlignment="1">
      <alignment horizontal="right"/>
    </xf>
    <xf numFmtId="44" fontId="3" fillId="14" borderId="4" xfId="2" applyNumberFormat="1" applyFont="1" applyFill="1" applyBorder="1"/>
    <xf numFmtId="3" fontId="0" fillId="2" borderId="0" xfId="0" applyNumberFormat="1" applyFill="1" applyBorder="1" applyAlignment="1">
      <alignment horizontal="center"/>
    </xf>
    <xf numFmtId="3" fontId="0" fillId="2" borderId="35" xfId="0" applyNumberFormat="1" applyFill="1" applyBorder="1" applyAlignment="1">
      <alignment horizontal="center"/>
    </xf>
    <xf numFmtId="3" fontId="3" fillId="2" borderId="0" xfId="0" applyNumberFormat="1" applyFont="1" applyFill="1" applyBorder="1" applyAlignment="1">
      <alignment horizontal="center"/>
    </xf>
    <xf numFmtId="0" fontId="0" fillId="2" borderId="0" xfId="0" applyFill="1" applyAlignment="1">
      <alignment vertical="center"/>
    </xf>
    <xf numFmtId="44" fontId="0" fillId="2" borderId="0" xfId="2" applyFont="1" applyFill="1" applyBorder="1" applyAlignment="1"/>
    <xf numFmtId="43" fontId="0" fillId="2" borderId="0" xfId="0" applyNumberFormat="1" applyFill="1" applyBorder="1" applyAlignment="1">
      <alignment horizontal="center"/>
    </xf>
    <xf numFmtId="164" fontId="3" fillId="2" borderId="0" xfId="1" applyNumberFormat="1" applyFont="1" applyFill="1" applyBorder="1"/>
    <xf numFmtId="164" fontId="0" fillId="0" borderId="2" xfId="1" applyNumberFormat="1" applyFont="1" applyFill="1" applyBorder="1" applyAlignment="1"/>
    <xf numFmtId="164" fontId="0" fillId="2" borderId="39" xfId="1" applyNumberFormat="1" applyFont="1" applyFill="1" applyBorder="1"/>
    <xf numFmtId="44" fontId="0" fillId="2" borderId="39" xfId="2" applyFont="1" applyFill="1" applyBorder="1" applyAlignment="1"/>
    <xf numFmtId="164" fontId="0" fillId="2" borderId="35" xfId="0" applyNumberFormat="1" applyFill="1" applyBorder="1"/>
    <xf numFmtId="44" fontId="16" fillId="16" borderId="4" xfId="2" applyFont="1" applyFill="1" applyBorder="1"/>
    <xf numFmtId="0" fontId="17" fillId="17" borderId="0" xfId="0" applyFont="1" applyFill="1"/>
    <xf numFmtId="0" fontId="17" fillId="17" borderId="0" xfId="0" applyFont="1" applyFill="1" applyAlignment="1">
      <alignment horizontal="center"/>
    </xf>
    <xf numFmtId="0" fontId="17" fillId="17" borderId="0" xfId="0" applyFont="1" applyFill="1" applyAlignment="1">
      <alignment horizontal="right"/>
    </xf>
    <xf numFmtId="0" fontId="18" fillId="17" borderId="0" xfId="0" applyFont="1" applyFill="1" applyAlignment="1">
      <alignment horizontal="center"/>
    </xf>
    <xf numFmtId="0" fontId="17" fillId="17" borderId="0" xfId="0" applyFont="1" applyFill="1" applyAlignment="1">
      <alignment horizontal="center" vertical="center"/>
    </xf>
    <xf numFmtId="0" fontId="17" fillId="17" borderId="0" xfId="0" applyFont="1" applyFill="1" applyBorder="1"/>
    <xf numFmtId="0" fontId="17" fillId="17" borderId="0" xfId="0" applyFont="1" applyFill="1" applyAlignment="1">
      <alignment vertical="center"/>
    </xf>
    <xf numFmtId="167" fontId="3" fillId="4" borderId="0" xfId="0" applyNumberFormat="1" applyFont="1" applyFill="1" applyBorder="1" applyAlignment="1">
      <alignment horizontal="right"/>
    </xf>
    <xf numFmtId="167" fontId="15" fillId="4" borderId="0" xfId="2" applyNumberFormat="1" applyFont="1" applyFill="1" applyBorder="1" applyAlignment="1">
      <alignment horizontal="right"/>
    </xf>
    <xf numFmtId="0" fontId="19" fillId="17" borderId="0" xfId="0" applyFont="1" applyFill="1" applyAlignment="1">
      <alignment horizontal="center"/>
    </xf>
    <xf numFmtId="0" fontId="0" fillId="2" borderId="0" xfId="0" applyFill="1" applyAlignment="1">
      <alignment vertical="center" wrapText="1"/>
    </xf>
    <xf numFmtId="0" fontId="0" fillId="2" borderId="2" xfId="0" applyFill="1" applyBorder="1" applyAlignment="1">
      <alignment horizontal="right"/>
    </xf>
    <xf numFmtId="0" fontId="0" fillId="2" borderId="2" xfId="0" applyFill="1" applyBorder="1"/>
    <xf numFmtId="0" fontId="4" fillId="2" borderId="0" xfId="0" applyFont="1" applyFill="1" applyAlignment="1">
      <alignment horizontal="center"/>
    </xf>
    <xf numFmtId="164" fontId="0" fillId="2" borderId="2" xfId="1" applyNumberFormat="1" applyFont="1" applyFill="1" applyBorder="1" applyAlignment="1">
      <alignment horizontal="right"/>
    </xf>
    <xf numFmtId="164" fontId="0" fillId="2" borderId="2" xfId="1" applyNumberFormat="1" applyFont="1" applyFill="1" applyBorder="1"/>
    <xf numFmtId="164" fontId="4" fillId="2" borderId="2" xfId="1" applyNumberFormat="1" applyFont="1" applyFill="1" applyBorder="1" applyAlignment="1">
      <alignment horizontal="right"/>
    </xf>
    <xf numFmtId="9" fontId="0" fillId="2" borderId="2" xfId="3" applyFont="1" applyFill="1" applyBorder="1" applyAlignment="1">
      <alignment horizontal="center"/>
    </xf>
    <xf numFmtId="0" fontId="3" fillId="2" borderId="0" xfId="0" applyFont="1" applyFill="1" applyBorder="1" applyAlignment="1"/>
    <xf numFmtId="0" fontId="4" fillId="2" borderId="0" xfId="0" applyFont="1" applyFill="1" applyBorder="1" applyAlignment="1">
      <alignment horizontal="center"/>
    </xf>
    <xf numFmtId="9" fontId="0" fillId="2" borderId="0" xfId="3" applyFont="1" applyFill="1" applyBorder="1" applyAlignment="1"/>
    <xf numFmtId="9" fontId="0" fillId="4" borderId="10" xfId="3" applyFont="1" applyFill="1" applyBorder="1" applyAlignment="1"/>
    <xf numFmtId="9" fontId="0" fillId="4" borderId="4" xfId="3" applyFont="1" applyFill="1" applyBorder="1" applyAlignment="1"/>
    <xf numFmtId="0" fontId="0" fillId="2" borderId="2" xfId="0" applyFill="1" applyBorder="1" applyAlignment="1">
      <alignment horizontal="center"/>
    </xf>
    <xf numFmtId="167" fontId="3" fillId="2" borderId="0" xfId="0" applyNumberFormat="1" applyFont="1" applyFill="1" applyBorder="1" applyAlignment="1">
      <alignment horizontal="right"/>
    </xf>
    <xf numFmtId="0" fontId="0" fillId="0" borderId="2" xfId="0" applyFont="1" applyBorder="1" applyAlignment="1">
      <alignment horizontal="left" vertical="center" wrapText="1"/>
    </xf>
    <xf numFmtId="0" fontId="0" fillId="0" borderId="2" xfId="0" applyFont="1" applyBorder="1" applyAlignment="1">
      <alignment horizontal="center" vertical="center" wrapText="1"/>
    </xf>
    <xf numFmtId="44" fontId="0" fillId="0" borderId="2" xfId="2" applyFont="1" applyBorder="1" applyAlignment="1">
      <alignment vertical="center" wrapText="1"/>
    </xf>
    <xf numFmtId="0" fontId="0" fillId="0" borderId="34" xfId="0" applyFont="1" applyBorder="1" applyAlignment="1">
      <alignment horizontal="left" vertical="center" wrapText="1"/>
    </xf>
    <xf numFmtId="44" fontId="0" fillId="0" borderId="34" xfId="2" applyFont="1" applyBorder="1" applyAlignment="1">
      <alignment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0" xfId="0" quotePrefix="1" applyFont="1" applyBorder="1" applyAlignment="1">
      <alignment horizontal="left" vertical="center" wrapText="1"/>
    </xf>
    <xf numFmtId="0" fontId="0" fillId="0" borderId="0" xfId="0" quotePrefix="1" applyFont="1" applyBorder="1" applyAlignment="1">
      <alignment horizontal="center" vertical="center" wrapText="1"/>
    </xf>
    <xf numFmtId="44" fontId="0" fillId="0" borderId="0" xfId="2" applyFont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18" borderId="2" xfId="0" applyFont="1" applyFill="1" applyBorder="1" applyAlignment="1">
      <alignment horizontal="center" vertical="center" wrapText="1"/>
    </xf>
    <xf numFmtId="6" fontId="0" fillId="0" borderId="2" xfId="0" applyNumberFormat="1" applyFont="1" applyBorder="1" applyAlignment="1">
      <alignment horizontal="center" vertical="center" wrapText="1"/>
    </xf>
    <xf numFmtId="0" fontId="0" fillId="18" borderId="0" xfId="0" applyFill="1" applyAlignment="1">
      <alignment horizontal="center"/>
    </xf>
    <xf numFmtId="0" fontId="3" fillId="18" borderId="2" xfId="0" applyFont="1" applyFill="1" applyBorder="1" applyAlignment="1">
      <alignment horizontal="center" vertical="center" wrapText="1"/>
    </xf>
    <xf numFmtId="0" fontId="0" fillId="0" borderId="34" xfId="0" applyBorder="1"/>
    <xf numFmtId="0" fontId="0" fillId="0" borderId="33" xfId="0" applyFont="1" applyBorder="1" applyAlignment="1">
      <alignment horizontal="center" vertical="center" wrapText="1"/>
    </xf>
    <xf numFmtId="0" fontId="0" fillId="0" borderId="33" xfId="0" applyBorder="1"/>
    <xf numFmtId="0" fontId="0" fillId="2" borderId="0" xfId="0" applyFill="1" applyBorder="1" applyAlignment="1">
      <alignment horizontal="right" vertical="center" wrapText="1"/>
    </xf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vertical="center" wrapText="1"/>
    </xf>
    <xf numFmtId="44" fontId="0" fillId="2" borderId="2" xfId="2" applyFont="1" applyFill="1" applyBorder="1"/>
    <xf numFmtId="44" fontId="0" fillId="2" borderId="0" xfId="2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19" borderId="0" xfId="0" applyFill="1"/>
    <xf numFmtId="0" fontId="0" fillId="19" borderId="0" xfId="0" applyFill="1" applyAlignment="1">
      <alignment horizontal="right"/>
    </xf>
    <xf numFmtId="0" fontId="0" fillId="19" borderId="2" xfId="0" applyFont="1" applyFill="1" applyBorder="1" applyAlignment="1">
      <alignment horizontal="left" vertical="center" wrapText="1"/>
    </xf>
    <xf numFmtId="0" fontId="0" fillId="19" borderId="2" xfId="0" applyFont="1" applyFill="1" applyBorder="1" applyAlignment="1">
      <alignment horizontal="center" vertical="center" wrapText="1"/>
    </xf>
    <xf numFmtId="44" fontId="0" fillId="19" borderId="2" xfId="2" applyFont="1" applyFill="1" applyBorder="1" applyAlignment="1">
      <alignment vertical="center" wrapText="1"/>
    </xf>
    <xf numFmtId="0" fontId="0" fillId="18" borderId="34" xfId="0" applyFont="1" applyFill="1" applyBorder="1" applyAlignment="1">
      <alignment horizontal="center" vertical="center" wrapText="1"/>
    </xf>
    <xf numFmtId="44" fontId="0" fillId="6" borderId="2" xfId="2" applyFont="1" applyFill="1" applyBorder="1"/>
    <xf numFmtId="0" fontId="0" fillId="0" borderId="10" xfId="0" applyBorder="1" applyAlignment="1">
      <alignment horizontal="center"/>
    </xf>
    <xf numFmtId="44" fontId="0" fillId="0" borderId="34" xfId="2" applyFont="1" applyBorder="1"/>
    <xf numFmtId="0" fontId="0" fillId="0" borderId="33" xfId="0" applyFont="1" applyBorder="1" applyAlignment="1">
      <alignment horizontal="left" vertical="center" wrapText="1"/>
    </xf>
    <xf numFmtId="44" fontId="0" fillId="0" borderId="33" xfId="2" applyFont="1" applyBorder="1" applyAlignment="1">
      <alignment vertical="center" wrapText="1"/>
    </xf>
    <xf numFmtId="44" fontId="0" fillId="6" borderId="33" xfId="2" applyFont="1" applyFill="1" applyBorder="1"/>
    <xf numFmtId="0" fontId="0" fillId="0" borderId="44" xfId="0" applyFont="1" applyBorder="1" applyAlignment="1">
      <alignment horizontal="left" vertical="center" wrapText="1"/>
    </xf>
    <xf numFmtId="0" fontId="0" fillId="0" borderId="44" xfId="0" applyFont="1" applyBorder="1" applyAlignment="1">
      <alignment horizontal="center" vertical="center" wrapText="1"/>
    </xf>
    <xf numFmtId="44" fontId="0" fillId="0" borderId="44" xfId="2" applyFont="1" applyBorder="1" applyAlignment="1">
      <alignment vertical="center" wrapText="1"/>
    </xf>
    <xf numFmtId="44" fontId="0" fillId="4" borderId="44" xfId="2" applyFont="1" applyFill="1" applyBorder="1"/>
    <xf numFmtId="0" fontId="0" fillId="0" borderId="44" xfId="0" applyBorder="1"/>
    <xf numFmtId="0" fontId="0" fillId="0" borderId="45" xfId="0" applyBorder="1"/>
    <xf numFmtId="0" fontId="0" fillId="0" borderId="12" xfId="0" applyBorder="1"/>
    <xf numFmtId="0" fontId="0" fillId="0" borderId="47" xfId="0" applyFont="1" applyBorder="1" applyAlignment="1">
      <alignment horizontal="left" vertical="center" wrapText="1"/>
    </xf>
    <xf numFmtId="0" fontId="0" fillId="0" borderId="47" xfId="0" applyFont="1" applyBorder="1" applyAlignment="1">
      <alignment horizontal="center" vertical="center" wrapText="1"/>
    </xf>
    <xf numFmtId="44" fontId="0" fillId="0" borderId="47" xfId="2" applyFont="1" applyBorder="1" applyAlignment="1">
      <alignment vertical="center" wrapText="1"/>
    </xf>
    <xf numFmtId="44" fontId="0" fillId="19" borderId="47" xfId="2" applyFont="1" applyFill="1" applyBorder="1" applyAlignment="1">
      <alignment vertical="center" wrapText="1"/>
    </xf>
    <xf numFmtId="44" fontId="0" fillId="4" borderId="47" xfId="2" applyFont="1" applyFill="1" applyBorder="1"/>
    <xf numFmtId="0" fontId="0" fillId="0" borderId="47" xfId="0" applyBorder="1"/>
    <xf numFmtId="0" fontId="0" fillId="0" borderId="14" xfId="0" applyBorder="1"/>
    <xf numFmtId="0" fontId="0" fillId="0" borderId="34" xfId="0" applyFont="1" applyBorder="1" applyAlignment="1">
      <alignment horizontal="center" vertical="center" wrapText="1"/>
    </xf>
    <xf numFmtId="0" fontId="0" fillId="0" borderId="43" xfId="0" applyFont="1" applyBorder="1" applyAlignment="1">
      <alignment horizontal="left" vertical="center" wrapText="1"/>
    </xf>
    <xf numFmtId="0" fontId="0" fillId="19" borderId="43" xfId="0" quotePrefix="1" applyFont="1" applyFill="1" applyBorder="1" applyAlignment="1">
      <alignment horizontal="left" vertical="center" wrapText="1"/>
    </xf>
    <xf numFmtId="0" fontId="0" fillId="19" borderId="43" xfId="0" quotePrefix="1" applyFont="1" applyFill="1" applyBorder="1" applyAlignment="1">
      <alignment horizontal="center" vertical="center" wrapText="1"/>
    </xf>
    <xf numFmtId="44" fontId="0" fillId="0" borderId="43" xfId="2" applyFont="1" applyBorder="1" applyAlignment="1">
      <alignment vertical="center" wrapText="1"/>
    </xf>
    <xf numFmtId="44" fontId="0" fillId="0" borderId="43" xfId="2" applyFont="1" applyBorder="1"/>
    <xf numFmtId="0" fontId="0" fillId="0" borderId="43" xfId="0" applyBorder="1"/>
    <xf numFmtId="0" fontId="20" fillId="0" borderId="22" xfId="0" applyFont="1" applyBorder="1" applyAlignment="1">
      <alignment horizontal="left" vertical="center" wrapText="1"/>
    </xf>
    <xf numFmtId="0" fontId="20" fillId="0" borderId="48" xfId="0" applyFont="1" applyBorder="1" applyAlignment="1">
      <alignment horizontal="left" vertical="center" wrapText="1"/>
    </xf>
    <xf numFmtId="0" fontId="20" fillId="0" borderId="48" xfId="0" applyFont="1" applyBorder="1" applyAlignment="1">
      <alignment horizontal="center" vertical="center" wrapText="1"/>
    </xf>
    <xf numFmtId="44" fontId="20" fillId="0" borderId="48" xfId="0" applyNumberFormat="1" applyFont="1" applyBorder="1" applyAlignment="1">
      <alignment vertical="center" wrapText="1"/>
    </xf>
    <xf numFmtId="44" fontId="0" fillId="0" borderId="49" xfId="2" applyFont="1" applyBorder="1"/>
    <xf numFmtId="0" fontId="0" fillId="0" borderId="49" xfId="0" applyBorder="1"/>
    <xf numFmtId="0" fontId="0" fillId="0" borderId="23" xfId="0" applyBorder="1"/>
    <xf numFmtId="0" fontId="0" fillId="19" borderId="34" xfId="0" applyFont="1" applyFill="1" applyBorder="1" applyAlignment="1">
      <alignment horizontal="left" vertical="center" wrapText="1"/>
    </xf>
    <xf numFmtId="0" fontId="0" fillId="19" borderId="34" xfId="0" applyFont="1" applyFill="1" applyBorder="1" applyAlignment="1">
      <alignment horizontal="center" vertical="center" wrapText="1"/>
    </xf>
    <xf numFmtId="44" fontId="0" fillId="19" borderId="34" xfId="2" applyFont="1" applyFill="1" applyBorder="1" applyAlignment="1">
      <alignment vertical="center" wrapText="1"/>
    </xf>
    <xf numFmtId="44" fontId="0" fillId="6" borderId="34" xfId="2" applyFont="1" applyFill="1" applyBorder="1"/>
    <xf numFmtId="44" fontId="0" fillId="0" borderId="33" xfId="2" applyFont="1" applyBorder="1"/>
    <xf numFmtId="0" fontId="0" fillId="0" borderId="22" xfId="0" applyFont="1" applyBorder="1" applyAlignment="1">
      <alignment horizontal="left" vertical="center" wrapText="1"/>
    </xf>
    <xf numFmtId="0" fontId="0" fillId="0" borderId="49" xfId="0" applyFont="1" applyBorder="1" applyAlignment="1">
      <alignment horizontal="left" vertical="center" wrapText="1"/>
    </xf>
    <xf numFmtId="0" fontId="0" fillId="0" borderId="49" xfId="0" applyFont="1" applyBorder="1" applyAlignment="1">
      <alignment horizontal="center" vertical="center" wrapText="1"/>
    </xf>
    <xf numFmtId="44" fontId="0" fillId="0" borderId="49" xfId="2" applyFont="1" applyBorder="1" applyAlignment="1">
      <alignment vertical="center" wrapText="1"/>
    </xf>
    <xf numFmtId="0" fontId="0" fillId="0" borderId="43" xfId="0" applyBorder="1" applyAlignment="1">
      <alignment horizontal="left" vertical="center" wrapText="1"/>
    </xf>
    <xf numFmtId="0" fontId="0" fillId="0" borderId="43" xfId="0" applyFont="1" applyBorder="1" applyAlignment="1">
      <alignment horizontal="center" vertical="center" wrapText="1"/>
    </xf>
    <xf numFmtId="0" fontId="0" fillId="19" borderId="49" xfId="0" quotePrefix="1" applyFont="1" applyFill="1" applyBorder="1" applyAlignment="1">
      <alignment horizontal="left" vertical="center" wrapText="1"/>
    </xf>
    <xf numFmtId="0" fontId="0" fillId="19" borderId="49" xfId="0" quotePrefix="1" applyFont="1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/>
    </xf>
    <xf numFmtId="0" fontId="0" fillId="0" borderId="49" xfId="0" applyFont="1" applyBorder="1" applyAlignment="1">
      <alignment horizontal="left"/>
    </xf>
    <xf numFmtId="0" fontId="0" fillId="0" borderId="49" xfId="0" applyFont="1" applyBorder="1" applyAlignment="1">
      <alignment horizontal="center"/>
    </xf>
    <xf numFmtId="44" fontId="0" fillId="0" borderId="49" xfId="2" applyFont="1" applyBorder="1" applyAlignment="1"/>
    <xf numFmtId="44" fontId="0" fillId="19" borderId="49" xfId="2" applyFont="1" applyFill="1" applyBorder="1"/>
    <xf numFmtId="0" fontId="0" fillId="18" borderId="2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164" fontId="0" fillId="2" borderId="2" xfId="0" applyNumberFormat="1" applyFill="1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10" fontId="4" fillId="2" borderId="0" xfId="3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44" fontId="3" fillId="2" borderId="0" xfId="2" applyFont="1" applyFill="1" applyBorder="1" applyAlignment="1">
      <alignment horizontal="center"/>
    </xf>
    <xf numFmtId="0" fontId="0" fillId="2" borderId="2" xfId="0" applyFont="1" applyFill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 wrapText="1"/>
    </xf>
    <xf numFmtId="9" fontId="0" fillId="2" borderId="0" xfId="3" applyFont="1" applyFill="1" applyAlignment="1">
      <alignment horizontal="center"/>
    </xf>
    <xf numFmtId="0" fontId="11" fillId="2" borderId="2" xfId="0" applyFont="1" applyFill="1" applyBorder="1" applyAlignment="1">
      <alignment horizontal="right"/>
    </xf>
    <xf numFmtId="168" fontId="12" fillId="13" borderId="2" xfId="2" applyNumberFormat="1" applyFont="1" applyFill="1" applyBorder="1" applyAlignment="1">
      <alignment vertical="center" wrapText="1"/>
    </xf>
    <xf numFmtId="44" fontId="0" fillId="2" borderId="2" xfId="0" applyNumberFormat="1" applyFill="1" applyBorder="1"/>
    <xf numFmtId="0" fontId="3" fillId="2" borderId="2" xfId="0" applyFont="1" applyFill="1" applyBorder="1" applyAlignment="1">
      <alignment horizontal="right"/>
    </xf>
    <xf numFmtId="44" fontId="3" fillId="4" borderId="2" xfId="2" applyFont="1" applyFill="1" applyBorder="1" applyAlignment="1">
      <alignment horizontal="center"/>
    </xf>
    <xf numFmtId="44" fontId="3" fillId="4" borderId="2" xfId="0" applyNumberFormat="1" applyFont="1" applyFill="1" applyBorder="1"/>
    <xf numFmtId="0" fontId="17" fillId="17" borderId="0" xfId="0" applyFont="1" applyFill="1" applyAlignment="1" applyProtection="1">
      <alignment horizontal="center"/>
      <protection locked="0"/>
    </xf>
    <xf numFmtId="9" fontId="17" fillId="17" borderId="0" xfId="3" applyFont="1" applyFill="1" applyAlignment="1" applyProtection="1">
      <alignment horizontal="center"/>
      <protection locked="0"/>
    </xf>
    <xf numFmtId="0" fontId="17" fillId="17" borderId="0" xfId="0" applyFont="1" applyFill="1" applyAlignment="1" applyProtection="1">
      <alignment horizontal="center" vertical="center"/>
      <protection locked="0"/>
    </xf>
    <xf numFmtId="164" fontId="11" fillId="3" borderId="3" xfId="1" applyNumberFormat="1" applyFont="1" applyFill="1" applyBorder="1" applyAlignment="1" applyProtection="1">
      <protection locked="0"/>
    </xf>
    <xf numFmtId="0" fontId="7" fillId="3" borderId="3" xfId="0" applyFont="1" applyFill="1" applyBorder="1" applyAlignment="1" applyProtection="1">
      <alignment horizontal="center"/>
      <protection locked="0"/>
    </xf>
    <xf numFmtId="44" fontId="0" fillId="2" borderId="49" xfId="2" applyFont="1" applyFill="1" applyBorder="1"/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3" fillId="3" borderId="2" xfId="1" applyNumberFormat="1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3" fillId="4" borderId="15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7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0" fillId="4" borderId="26" xfId="0" applyFill="1" applyBorder="1" applyAlignment="1">
      <alignment horizontal="center" vertical="center" wrapText="1"/>
    </xf>
    <xf numFmtId="0" fontId="2" fillId="16" borderId="36" xfId="0" applyFont="1" applyFill="1" applyBorder="1" applyAlignment="1">
      <alignment horizontal="center"/>
    </xf>
    <xf numFmtId="0" fontId="2" fillId="16" borderId="41" xfId="0" applyFont="1" applyFill="1" applyBorder="1" applyAlignment="1">
      <alignment horizontal="center"/>
    </xf>
    <xf numFmtId="0" fontId="2" fillId="16" borderId="37" xfId="0" applyFont="1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14" borderId="36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0" fontId="4" fillId="2" borderId="35" xfId="3" applyNumberFormat="1" applyFont="1" applyFill="1" applyBorder="1" applyAlignment="1">
      <alignment horizontal="center"/>
    </xf>
    <xf numFmtId="10" fontId="4" fillId="2" borderId="40" xfId="3" applyNumberFormat="1" applyFont="1" applyFill="1" applyBorder="1" applyAlignment="1">
      <alignment horizontal="center"/>
    </xf>
    <xf numFmtId="0" fontId="0" fillId="2" borderId="52" xfId="0" applyFill="1" applyBorder="1" applyAlignment="1">
      <alignment horizontal="center"/>
    </xf>
    <xf numFmtId="0" fontId="21" fillId="20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0" fillId="18" borderId="34" xfId="0" applyFont="1" applyFill="1" applyBorder="1" applyAlignment="1">
      <alignment horizontal="center" vertical="center" wrapText="1"/>
    </xf>
    <xf numFmtId="0" fontId="0" fillId="18" borderId="50" xfId="0" applyFont="1" applyFill="1" applyBorder="1" applyAlignment="1">
      <alignment horizontal="center" vertical="center" wrapText="1"/>
    </xf>
    <xf numFmtId="0" fontId="0" fillId="18" borderId="43" xfId="0" applyFont="1" applyFill="1" applyBorder="1" applyAlignment="1">
      <alignment horizontal="center" vertical="center" wrapText="1"/>
    </xf>
    <xf numFmtId="0" fontId="0" fillId="18" borderId="43" xfId="0" applyFill="1" applyBorder="1" applyAlignment="1">
      <alignment horizontal="center" vertical="center" wrapText="1"/>
    </xf>
    <xf numFmtId="0" fontId="0" fillId="18" borderId="50" xfId="0" applyFill="1" applyBorder="1" applyAlignment="1">
      <alignment horizontal="center" vertical="center" wrapText="1"/>
    </xf>
    <xf numFmtId="0" fontId="3" fillId="14" borderId="10" xfId="0" applyFont="1" applyFill="1" applyBorder="1" applyAlignment="1">
      <alignment horizontal="center"/>
    </xf>
    <xf numFmtId="0" fontId="3" fillId="14" borderId="42" xfId="0" applyFont="1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49" fontId="0" fillId="14" borderId="34" xfId="0" applyNumberFormat="1" applyFont="1" applyFill="1" applyBorder="1" applyAlignment="1">
      <alignment horizontal="center"/>
    </xf>
    <xf numFmtId="0" fontId="0" fillId="0" borderId="43" xfId="0" applyFont="1" applyBorder="1" applyAlignment="1">
      <alignment horizontal="left" vertical="center" wrapText="1"/>
    </xf>
    <xf numFmtId="0" fontId="0" fillId="0" borderId="17" xfId="0" applyFont="1" applyBorder="1" applyAlignment="1">
      <alignment horizontal="left" vertical="center" wrapText="1"/>
    </xf>
    <xf numFmtId="0" fontId="0" fillId="0" borderId="46" xfId="0" applyFont="1" applyBorder="1" applyAlignment="1">
      <alignment horizontal="left" vertical="center" wrapText="1"/>
    </xf>
    <xf numFmtId="0" fontId="0" fillId="0" borderId="27" xfId="0" applyFont="1" applyBorder="1" applyAlignment="1">
      <alignment horizontal="left" vertical="center" wrapText="1"/>
    </xf>
    <xf numFmtId="0" fontId="0" fillId="0" borderId="43" xfId="0" applyFont="1" applyBorder="1" applyAlignment="1">
      <alignment horizontal="center" vertical="center" wrapText="1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3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FF66"/>
      <color rgb="FFEB4635"/>
      <color rgb="FFFFFF99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5" dropStyle="combo" dx="16" fmlaLink="$A$3" fmlaRange="$N$43:$O$44" noThreeD="1" sel="1" val="0"/>
</file>

<file path=xl/ctrlProps/ctrlProp2.xml><?xml version="1.0" encoding="utf-8"?>
<formControlPr xmlns="http://schemas.microsoft.com/office/spreadsheetml/2009/9/main" objectType="Drop" dropLines="5" dropStyle="combo" dx="16" fmlaLink="$A$38" fmlaRange="$N$62:$N$64" noThreeD="1" sel="1" val="0"/>
</file>

<file path=xl/ctrlProps/ctrlProp3.xml><?xml version="1.0" encoding="utf-8"?>
<formControlPr xmlns="http://schemas.microsoft.com/office/spreadsheetml/2009/9/main" objectType="Drop" dropLines="3" dropStyle="combo" dx="16" fmlaLink="$A$5" fmlaRange="$N$49:$N$51" noThreeD="1" sel="1" val="0"/>
</file>

<file path=xl/ctrlProps/ctrlProp4.xml><?xml version="1.0" encoding="utf-8"?>
<formControlPr xmlns="http://schemas.microsoft.com/office/spreadsheetml/2009/9/main" objectType="Drop" dropLines="15" dropStyle="combo" dx="16" fmlaLink="$A$6" fmlaRange="$W$12:$W$46" noThreeD="1" sel="9" val="4"/>
</file>

<file path=xl/ctrlProps/ctrlProp5.xml><?xml version="1.0" encoding="utf-8"?>
<formControlPr xmlns="http://schemas.microsoft.com/office/spreadsheetml/2009/9/main" objectType="Radio" checked="Checked" firstButton="1" fmlaLink="$A$12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6" dropStyle="combo" dx="16" fmlaLink="$A$4" fmlaRange="$N$69:$N$73" noThreeD="1" sel="4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3" dropStyle="combo" dx="16" fmlaLink="$A$17" fmlaRange="$N$56:$O$57" noThreeD="1" sel="2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checked="Checked" fmlaLink="$A$8" lockText="1" noThreeD="1"/>
</file>

<file path=xl/ctrlProps/ctrlProp14.xml><?xml version="1.0" encoding="utf-8"?>
<formControlPr xmlns="http://schemas.microsoft.com/office/spreadsheetml/2009/9/main" objectType="Drop" dropLines="5" dropStyle="combo" dx="16" fmlaLink="$A$39" fmlaRange="$N$62:$N$64" noThreeD="1" sel="2" val="0"/>
</file>

<file path=xl/ctrlProps/ctrlProp15.xml><?xml version="1.0" encoding="utf-8"?>
<formControlPr xmlns="http://schemas.microsoft.com/office/spreadsheetml/2009/9/main" objectType="Drop" dropLines="5" dropStyle="combo" dx="16" fmlaLink="$A$40" fmlaRange="$N$62:$N$64" noThreeD="1" sel="2" val="0"/>
</file>

<file path=xl/ctrlProps/ctrlProp16.xml><?xml version="1.0" encoding="utf-8"?>
<formControlPr xmlns="http://schemas.microsoft.com/office/spreadsheetml/2009/9/main" objectType="CheckBox" fmlaLink="$A$10" lockText="1" noThreeD="1"/>
</file>

<file path=xl/ctrlProps/ctrlProp17.xml><?xml version="1.0" encoding="utf-8"?>
<formControlPr xmlns="http://schemas.microsoft.com/office/spreadsheetml/2009/9/main" objectType="CheckBox" fmlaLink="$A$13" lockText="1" noThreeD="1"/>
</file>

<file path=xl/ctrlProps/ctrlProp18.xml><?xml version="1.0" encoding="utf-8"?>
<formControlPr xmlns="http://schemas.microsoft.com/office/spreadsheetml/2009/9/main" objectType="Radio" firstButton="1" fmlaLink="$A$7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CheckBox" fmlaLink="$A$14" lockText="1" noThreeD="1"/>
</file>

<file path=xl/ctrlProps/ctrlProp22.xml><?xml version="1.0" encoding="utf-8"?>
<formControlPr xmlns="http://schemas.microsoft.com/office/spreadsheetml/2009/9/main" objectType="CheckBox" fmlaLink="$A$17" lockText="1" noThreeD="1"/>
</file>

<file path=xl/ctrlProps/ctrlProp23.xml><?xml version="1.0" encoding="utf-8"?>
<formControlPr xmlns="http://schemas.microsoft.com/office/spreadsheetml/2009/9/main" objectType="CheckBox" fmlaLink="$A$16" lockText="1" noThreeD="1"/>
</file>

<file path=xl/ctrlProps/ctrlProp24.xml><?xml version="1.0" encoding="utf-8"?>
<formControlPr xmlns="http://schemas.microsoft.com/office/spreadsheetml/2009/9/main" objectType="CheckBox" fmlaLink="$A$19" lockText="1" noThreeD="1"/>
</file>

<file path=xl/ctrlProps/ctrlProp25.xml><?xml version="1.0" encoding="utf-8"?>
<formControlPr xmlns="http://schemas.microsoft.com/office/spreadsheetml/2009/9/main" objectType="CheckBox" fmlaLink="$A$20" lockText="1" noThreeD="1"/>
</file>

<file path=xl/ctrlProps/ctrlProp26.xml><?xml version="1.0" encoding="utf-8"?>
<formControlPr xmlns="http://schemas.microsoft.com/office/spreadsheetml/2009/9/main" objectType="Drop" dropLines="3" dropStyle="combo" dx="16" fmlaLink="$A$21" fmlaRange="$S$21:$S$23" noThreeD="1" sel="0" val="0"/>
</file>

<file path=xl/ctrlProps/ctrlProp27.xml><?xml version="1.0" encoding="utf-8"?>
<formControlPr xmlns="http://schemas.microsoft.com/office/spreadsheetml/2009/9/main" objectType="CheckBox" fmlaLink="$A$22" lockText="1" noThreeD="1"/>
</file>

<file path=xl/ctrlProps/ctrlProp28.xml><?xml version="1.0" encoding="utf-8"?>
<formControlPr xmlns="http://schemas.microsoft.com/office/spreadsheetml/2009/9/main" objectType="Drop" dropLines="3" dropStyle="combo" dx="16" fmlaLink="$A$24" fmlaRange="$P$21:$P$23" noThreeD="1" sel="0" val="0"/>
</file>

<file path=xl/ctrlProps/ctrlProp29.xml><?xml version="1.0" encoding="utf-8"?>
<formControlPr xmlns="http://schemas.microsoft.com/office/spreadsheetml/2009/9/main" objectType="CheckBox" fmlaLink="$A$23" lockText="1" noThreeD="1"/>
</file>

<file path=xl/ctrlProps/ctrlProp30.xml><?xml version="1.0" encoding="utf-8"?>
<formControlPr xmlns="http://schemas.microsoft.com/office/spreadsheetml/2009/9/main" objectType="CheckBox" fmlaLink="$A$25" lockText="1" noThreeD="1"/>
</file>

<file path=xl/ctrlProps/ctrlProp31.xml><?xml version="1.0" encoding="utf-8"?>
<formControlPr xmlns="http://schemas.microsoft.com/office/spreadsheetml/2009/9/main" objectType="CheckBox" fmlaLink="$A$28" lockText="1" noThreeD="1"/>
</file>

<file path=xl/ctrlProps/ctrlProp32.xml><?xml version="1.0" encoding="utf-8"?>
<formControlPr xmlns="http://schemas.microsoft.com/office/spreadsheetml/2009/9/main" objectType="CheckBox" fmlaLink="$A$31" lockText="1" noThreeD="1"/>
</file>

<file path=xl/ctrlProps/ctrlProp33.xml><?xml version="1.0" encoding="utf-8"?>
<formControlPr xmlns="http://schemas.microsoft.com/office/spreadsheetml/2009/9/main" objectType="CheckBox" fmlaLink="$A$34" lockText="1" noThreeD="1"/>
</file>

<file path=xl/ctrlProps/ctrlProp3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6</xdr:col>
          <xdr:colOff>1038225</xdr:colOff>
          <xdr:row>2</xdr:row>
          <xdr:rowOff>285750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66675</xdr:rowOff>
        </xdr:from>
        <xdr:to>
          <xdr:col>2</xdr:col>
          <xdr:colOff>781050</xdr:colOff>
          <xdr:row>37</xdr:row>
          <xdr:rowOff>304800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28575</xdr:rowOff>
        </xdr:from>
        <xdr:to>
          <xdr:col>6</xdr:col>
          <xdr:colOff>1057275</xdr:colOff>
          <xdr:row>4</xdr:row>
          <xdr:rowOff>285750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5</xdr:row>
          <xdr:rowOff>28575</xdr:rowOff>
        </xdr:from>
        <xdr:to>
          <xdr:col>6</xdr:col>
          <xdr:colOff>1057275</xdr:colOff>
          <xdr:row>5</xdr:row>
          <xdr:rowOff>276225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28575</xdr:rowOff>
        </xdr:from>
        <xdr:to>
          <xdr:col>7</xdr:col>
          <xdr:colOff>657225</xdr:colOff>
          <xdr:row>13</xdr:row>
          <xdr:rowOff>47625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Calcular con medidas de caja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171450</xdr:rowOff>
        </xdr:from>
        <xdr:to>
          <xdr:col>7</xdr:col>
          <xdr:colOff>847725</xdr:colOff>
          <xdr:row>14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Calcular con medidas de carton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171450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28575</xdr:rowOff>
        </xdr:from>
        <xdr:to>
          <xdr:col>6</xdr:col>
          <xdr:colOff>1038225</xdr:colOff>
          <xdr:row>3</xdr:row>
          <xdr:rowOff>285750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33</xdr:row>
          <xdr:rowOff>266700</xdr:rowOff>
        </xdr:from>
        <xdr:to>
          <xdr:col>1</xdr:col>
          <xdr:colOff>1390650</xdr:colOff>
          <xdr:row>35</xdr:row>
          <xdr:rowOff>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0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</a:rPr>
                <a:t>CALC.MERMA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16</xdr:row>
          <xdr:rowOff>19050</xdr:rowOff>
        </xdr:from>
        <xdr:to>
          <xdr:col>8</xdr:col>
          <xdr:colOff>1304925</xdr:colOff>
          <xdr:row>17</xdr:row>
          <xdr:rowOff>28575</xdr:rowOff>
        </xdr:to>
        <xdr:sp macro="" textlink="">
          <xdr:nvSpPr>
            <xdr:cNvPr id="1417" name="Drop Dow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0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981075</xdr:colOff>
          <xdr:row>0</xdr:row>
          <xdr:rowOff>57150</xdr:rowOff>
        </xdr:from>
        <xdr:to>
          <xdr:col>8</xdr:col>
          <xdr:colOff>1438275</xdr:colOff>
          <xdr:row>1</xdr:row>
          <xdr:rowOff>161925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0</xdr:row>
          <xdr:rowOff>76200</xdr:rowOff>
        </xdr:from>
        <xdr:to>
          <xdr:col>8</xdr:col>
          <xdr:colOff>942975</xdr:colOff>
          <xdr:row>1</xdr:row>
          <xdr:rowOff>152400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&lt;-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7</xdr:row>
          <xdr:rowOff>38100</xdr:rowOff>
        </xdr:from>
        <xdr:to>
          <xdr:col>7</xdr:col>
          <xdr:colOff>9525</xdr:colOff>
          <xdr:row>7</xdr:row>
          <xdr:rowOff>285750</xdr:rowOff>
        </xdr:to>
        <xdr:sp macro="" textlink="">
          <xdr:nvSpPr>
            <xdr:cNvPr id="1448" name="Check Box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APLICAR REFILADO Y RAYADO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76200</xdr:rowOff>
        </xdr:from>
        <xdr:to>
          <xdr:col>4</xdr:col>
          <xdr:colOff>781050</xdr:colOff>
          <xdr:row>37</xdr:row>
          <xdr:rowOff>314325</xdr:rowOff>
        </xdr:to>
        <xdr:sp macro="" textlink="">
          <xdr:nvSpPr>
            <xdr:cNvPr id="1450" name="Drop Dow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0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37</xdr:row>
          <xdr:rowOff>28575</xdr:rowOff>
        </xdr:from>
        <xdr:to>
          <xdr:col>6</xdr:col>
          <xdr:colOff>1104900</xdr:colOff>
          <xdr:row>37</xdr:row>
          <xdr:rowOff>266700</xdr:rowOff>
        </xdr:to>
        <xdr:sp macro="" textlink="">
          <xdr:nvSpPr>
            <xdr:cNvPr id="1451" name="Drop Dow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9</xdr:row>
          <xdr:rowOff>9525</xdr:rowOff>
        </xdr:from>
        <xdr:to>
          <xdr:col>1</xdr:col>
          <xdr:colOff>1466850</xdr:colOff>
          <xdr:row>9</xdr:row>
          <xdr:rowOff>228600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EMPALME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28575</xdr:rowOff>
        </xdr:from>
        <xdr:to>
          <xdr:col>1</xdr:col>
          <xdr:colOff>1647825</xdr:colOff>
          <xdr:row>13</xdr:row>
          <xdr:rowOff>9525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SUAJE  AUTOMATICO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6</xdr:row>
          <xdr:rowOff>38100</xdr:rowOff>
        </xdr:from>
        <xdr:to>
          <xdr:col>2</xdr:col>
          <xdr:colOff>28575</xdr:colOff>
          <xdr:row>6</xdr:row>
          <xdr:rowOff>257175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 mc:Ignorable="a14" a14:legacySpreadsheetColorIndex="5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Corrugados Precio Normal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6</xdr:row>
          <xdr:rowOff>38100</xdr:rowOff>
        </xdr:from>
        <xdr:to>
          <xdr:col>7</xdr:col>
          <xdr:colOff>180975</xdr:colOff>
          <xdr:row>6</xdr:row>
          <xdr:rowOff>257175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Corrugados Precio Especial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6</xdr:row>
          <xdr:rowOff>28575</xdr:rowOff>
        </xdr:from>
        <xdr:to>
          <xdr:col>10</xdr:col>
          <xdr:colOff>904875</xdr:colOff>
          <xdr:row>6</xdr:row>
          <xdr:rowOff>247650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3366FF" mc:Ignorable="a14" a14:legacySpreadsheetColorIndex="48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Kaples y sulfatadas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12</xdr:row>
          <xdr:rowOff>228600</xdr:rowOff>
        </xdr:from>
        <xdr:to>
          <xdr:col>1</xdr:col>
          <xdr:colOff>1724025</xdr:colOff>
          <xdr:row>13</xdr:row>
          <xdr:rowOff>219075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ARREGLO SUAJE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15</xdr:row>
          <xdr:rowOff>228600</xdr:rowOff>
        </xdr:from>
        <xdr:to>
          <xdr:col>1</xdr:col>
          <xdr:colOff>1743075</xdr:colOff>
          <xdr:row>16</xdr:row>
          <xdr:rowOff>219075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ARREGLO SUAJE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15</xdr:row>
          <xdr:rowOff>28575</xdr:rowOff>
        </xdr:from>
        <xdr:to>
          <xdr:col>1</xdr:col>
          <xdr:colOff>1647825</xdr:colOff>
          <xdr:row>16</xdr:row>
          <xdr:rowOff>9525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SUAJE  MANUAL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17</xdr:row>
          <xdr:rowOff>190500</xdr:rowOff>
        </xdr:from>
        <xdr:to>
          <xdr:col>2</xdr:col>
          <xdr:colOff>28575</xdr:colOff>
          <xdr:row>19</xdr:row>
          <xdr:rowOff>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PEGADO LINEAL EN MAQUINA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18</xdr:row>
          <xdr:rowOff>219075</xdr:rowOff>
        </xdr:from>
        <xdr:to>
          <xdr:col>1</xdr:col>
          <xdr:colOff>1714500</xdr:colOff>
          <xdr:row>19</xdr:row>
          <xdr:rowOff>219075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ARREGLO PEGUE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5</xdr:col>
          <xdr:colOff>28575</xdr:colOff>
          <xdr:row>19</xdr:row>
          <xdr:rowOff>209550</xdr:rowOff>
        </xdr:to>
        <xdr:sp macro="" textlink="">
          <xdr:nvSpPr>
            <xdr:cNvPr id="2105" name="Drop Dow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20</xdr:row>
          <xdr:rowOff>219075</xdr:rowOff>
        </xdr:from>
        <xdr:to>
          <xdr:col>2</xdr:col>
          <xdr:colOff>28575</xdr:colOff>
          <xdr:row>22</xdr:row>
          <xdr:rowOff>28575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PEGADO FONDO AUTO EN MAQUINA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9525</xdr:rowOff>
        </xdr:from>
        <xdr:to>
          <xdr:col>5</xdr:col>
          <xdr:colOff>28575</xdr:colOff>
          <xdr:row>22</xdr:row>
          <xdr:rowOff>219075</xdr:rowOff>
        </xdr:to>
        <xdr:sp macro="" textlink="">
          <xdr:nvSpPr>
            <xdr:cNvPr id="2116" name="Drop Dow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22</xdr:row>
          <xdr:rowOff>0</xdr:rowOff>
        </xdr:from>
        <xdr:to>
          <xdr:col>1</xdr:col>
          <xdr:colOff>1752600</xdr:colOff>
          <xdr:row>22</xdr:row>
          <xdr:rowOff>228600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ARREGLO PEGUE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24</xdr:row>
          <xdr:rowOff>9525</xdr:rowOff>
        </xdr:from>
        <xdr:to>
          <xdr:col>1</xdr:col>
          <xdr:colOff>1409700</xdr:colOff>
          <xdr:row>24</xdr:row>
          <xdr:rowOff>228600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PEGUE MANUAL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27</xdr:row>
          <xdr:rowOff>9525</xdr:rowOff>
        </xdr:from>
        <xdr:to>
          <xdr:col>1</xdr:col>
          <xdr:colOff>1847850</xdr:colOff>
          <xdr:row>27</xdr:row>
          <xdr:rowOff>228600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PREDOBLEZ MANUAL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228600</xdr:rowOff>
        </xdr:from>
        <xdr:to>
          <xdr:col>1</xdr:col>
          <xdr:colOff>1409700</xdr:colOff>
          <xdr:row>30</xdr:row>
          <xdr:rowOff>219075</xdr:rowOff>
        </xdr:to>
        <xdr:sp macro="" textlink="">
          <xdr:nvSpPr>
            <xdr:cNvPr id="2142" name="Check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DESBARBE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33</xdr:row>
          <xdr:rowOff>0</xdr:rowOff>
        </xdr:from>
        <xdr:to>
          <xdr:col>1</xdr:col>
          <xdr:colOff>1409700</xdr:colOff>
          <xdr:row>34</xdr:row>
          <xdr:rowOff>28575</xdr:rowOff>
        </xdr:to>
        <xdr:sp macro="" textlink="">
          <xdr:nvSpPr>
            <xdr:cNvPr id="2143" name="Check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EMPAQUE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3</xdr:row>
          <xdr:rowOff>95250</xdr:rowOff>
        </xdr:from>
        <xdr:to>
          <xdr:col>3</xdr:col>
          <xdr:colOff>523875</xdr:colOff>
          <xdr:row>4</xdr:row>
          <xdr:rowOff>114300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3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8.xml"/><Relationship Id="rId20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10" Type="http://schemas.openxmlformats.org/officeDocument/2006/relationships/ctrlProp" Target="../ctrlProps/ctrlProp22.xml"/><Relationship Id="rId19" Type="http://schemas.openxmlformats.org/officeDocument/2006/relationships/ctrlProp" Target="../ctrlProps/ctrlProp31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X73"/>
  <sheetViews>
    <sheetView zoomScale="80" zoomScaleNormal="80" workbookViewId="0">
      <pane xSplit="11" ySplit="8" topLeftCell="M9" activePane="bottomRight" state="frozen"/>
      <selection pane="topRight" activeCell="I1" sqref="I1"/>
      <selection pane="bottomLeft" activeCell="A7" sqref="A7"/>
      <selection pane="bottomRight" activeCell="B27" sqref="B27"/>
    </sheetView>
  </sheetViews>
  <sheetFormatPr baseColWidth="10" defaultRowHeight="15" x14ac:dyDescent="0.25"/>
  <cols>
    <col min="1" max="1" width="9.42578125" style="175" customWidth="1"/>
    <col min="2" max="2" width="22.28515625" style="1" bestFit="1" customWidth="1"/>
    <col min="3" max="3" width="12.140625" style="1" bestFit="1" customWidth="1"/>
    <col min="4" max="4" width="2.140625" style="1" bestFit="1" customWidth="1"/>
    <col min="5" max="5" width="12" style="1" bestFit="1" customWidth="1"/>
    <col min="6" max="6" width="15" style="1" bestFit="1" customWidth="1"/>
    <col min="7" max="7" width="16.7109375" style="1" bestFit="1" customWidth="1"/>
    <col min="8" max="8" width="20.28515625" style="1" bestFit="1" customWidth="1"/>
    <col min="9" max="9" width="37.42578125" style="1" bestFit="1" customWidth="1"/>
    <col min="10" max="10" width="4.85546875" style="1" customWidth="1"/>
    <col min="11" max="11" width="3.85546875" style="1" customWidth="1"/>
    <col min="12" max="12" width="9.42578125" style="175" customWidth="1"/>
    <col min="13" max="13" width="13.85546875" style="3" customWidth="1"/>
    <col min="14" max="14" width="33.140625" style="3" bestFit="1" customWidth="1"/>
    <col min="15" max="15" width="11.42578125" style="3" customWidth="1"/>
    <col min="16" max="16" width="13.5703125" style="3" customWidth="1"/>
    <col min="17" max="17" width="9.5703125" style="3" customWidth="1"/>
    <col min="18" max="18" width="20.28515625" style="3" customWidth="1"/>
    <col min="19" max="19" width="10.5703125" style="3" customWidth="1"/>
    <col min="20" max="20" width="9.5703125" style="3" customWidth="1"/>
    <col min="21" max="21" width="15.28515625" style="3" customWidth="1"/>
    <col min="22" max="22" width="6.7109375" style="15" customWidth="1"/>
    <col min="23" max="23" width="52.85546875" style="3" customWidth="1"/>
    <col min="24" max="24" width="10.140625" style="3" customWidth="1"/>
    <col min="25" max="25" width="11.42578125" style="3" customWidth="1"/>
    <col min="26" max="16384" width="11.42578125" style="3"/>
  </cols>
  <sheetData>
    <row r="2" spans="1:24" x14ac:dyDescent="0.25">
      <c r="B2" s="2" t="s">
        <v>11</v>
      </c>
      <c r="C2" s="314">
        <v>10000</v>
      </c>
      <c r="D2" s="314"/>
      <c r="E2" s="314"/>
    </row>
    <row r="3" spans="1:24" ht="24" customHeight="1" thickBot="1" x14ac:dyDescent="0.35">
      <c r="A3" s="176">
        <v>1</v>
      </c>
      <c r="B3" s="99" t="s">
        <v>0</v>
      </c>
      <c r="G3" s="42"/>
      <c r="I3" s="100" t="s">
        <v>8</v>
      </c>
      <c r="M3" s="16"/>
      <c r="N3" s="16"/>
      <c r="O3" s="16"/>
      <c r="P3" s="16"/>
      <c r="Q3" s="16"/>
      <c r="R3" s="16"/>
    </row>
    <row r="4" spans="1:24" ht="24" customHeight="1" thickBot="1" x14ac:dyDescent="0.3">
      <c r="A4" s="176">
        <v>4</v>
      </c>
      <c r="B4" s="99" t="s">
        <v>142</v>
      </c>
      <c r="I4" s="114">
        <f>IF(ISERROR((C7+G7)/C2),0,(C7+G7)/C2)</f>
        <v>0</v>
      </c>
      <c r="M4" s="8"/>
      <c r="N4" s="8"/>
      <c r="O4" s="8"/>
      <c r="P4" s="8"/>
      <c r="Q4" s="8"/>
      <c r="R4" s="33" t="s">
        <v>110</v>
      </c>
      <c r="S4" s="68">
        <v>4</v>
      </c>
    </row>
    <row r="5" spans="1:24" ht="24" customHeight="1" thickBot="1" x14ac:dyDescent="0.3">
      <c r="A5" s="176">
        <v>1</v>
      </c>
      <c r="B5" s="99" t="s">
        <v>103</v>
      </c>
      <c r="I5" s="107" t="str">
        <f>IF(G46=0,"SIN ENVIO","")</f>
        <v/>
      </c>
      <c r="M5" s="17"/>
      <c r="N5" s="101" t="s">
        <v>123</v>
      </c>
      <c r="O5" s="89">
        <f>0.006/1000</f>
        <v>6.0000000000000002E-6</v>
      </c>
      <c r="P5" s="88" t="s">
        <v>124</v>
      </c>
      <c r="Q5" s="17"/>
      <c r="R5" s="17"/>
    </row>
    <row r="6" spans="1:24" ht="24" customHeight="1" thickBot="1" x14ac:dyDescent="0.3">
      <c r="A6" s="176">
        <v>9</v>
      </c>
      <c r="B6" s="99" t="s">
        <v>3</v>
      </c>
      <c r="M6" s="16"/>
      <c r="N6" s="33" t="s">
        <v>121</v>
      </c>
      <c r="O6" s="43">
        <v>50</v>
      </c>
      <c r="P6" s="18"/>
      <c r="Q6" s="18"/>
      <c r="R6" s="33" t="s">
        <v>117</v>
      </c>
      <c r="S6" s="43">
        <v>0.5</v>
      </c>
      <c r="T6" s="69" t="e">
        <f>IF(G21&gt;0,G21*S6,1/0)</f>
        <v>#DIV/0!</v>
      </c>
    </row>
    <row r="7" spans="1:24" ht="24" customHeight="1" thickBot="1" x14ac:dyDescent="0.35">
      <c r="A7" s="176"/>
      <c r="B7" s="2" t="s">
        <v>116</v>
      </c>
      <c r="C7" s="182" t="e">
        <f>I35+G35+G46</f>
        <v>#DIV/0!</v>
      </c>
      <c r="E7" s="2" t="s">
        <v>114</v>
      </c>
      <c r="F7" s="112">
        <f>VLOOKUP(C2,Q43:T55,3)</f>
        <v>0.1</v>
      </c>
      <c r="G7" s="183" t="e">
        <f>F7*C7</f>
        <v>#DIV/0!</v>
      </c>
      <c r="H7" s="2" t="s">
        <v>32</v>
      </c>
      <c r="I7" s="113" t="e">
        <f>C7+G7</f>
        <v>#DIV/0!</v>
      </c>
      <c r="M7" s="16"/>
      <c r="N7" s="16"/>
      <c r="O7" s="18"/>
      <c r="P7" s="18"/>
      <c r="Q7" s="18"/>
      <c r="R7" s="18"/>
    </row>
    <row r="8" spans="1:24" ht="24" customHeight="1" thickBot="1" x14ac:dyDescent="0.35">
      <c r="A8" s="184" t="b">
        <v>1</v>
      </c>
      <c r="D8" s="95"/>
      <c r="E8" s="95"/>
      <c r="F8" s="95"/>
      <c r="G8" s="95"/>
      <c r="M8" s="16"/>
      <c r="N8" s="33" t="s">
        <v>28</v>
      </c>
      <c r="O8" s="43">
        <v>95</v>
      </c>
      <c r="P8" s="16"/>
      <c r="Q8" s="16"/>
      <c r="R8" s="33" t="s">
        <v>119</v>
      </c>
      <c r="S8" s="43">
        <v>2.5</v>
      </c>
      <c r="T8" s="69">
        <f>S8*I13</f>
        <v>0</v>
      </c>
    </row>
    <row r="9" spans="1:24" ht="15.75" thickBot="1" x14ac:dyDescent="0.3">
      <c r="A9" s="177"/>
      <c r="B9" s="2"/>
      <c r="C9" s="1" t="s">
        <v>111</v>
      </c>
      <c r="E9" s="1" t="s">
        <v>112</v>
      </c>
      <c r="G9" s="1" t="s">
        <v>113</v>
      </c>
      <c r="I9" s="9" t="s">
        <v>150</v>
      </c>
    </row>
    <row r="10" spans="1:24" ht="15.75" thickBot="1" x14ac:dyDescent="0.3">
      <c r="A10" s="176">
        <v>2</v>
      </c>
      <c r="B10" s="2" t="s">
        <v>43</v>
      </c>
      <c r="C10" s="68">
        <v>0</v>
      </c>
      <c r="E10" s="68">
        <v>0</v>
      </c>
      <c r="G10" s="68">
        <v>0</v>
      </c>
      <c r="H10" s="87" t="str">
        <f>"("&amp;A13&amp;"x"&amp;A14&amp;")"</f>
        <v>(4x0)</v>
      </c>
      <c r="I10" s="115">
        <f>C2*A15</f>
        <v>0</v>
      </c>
      <c r="M10" s="30"/>
      <c r="N10" s="315" t="s">
        <v>13</v>
      </c>
      <c r="O10" s="316"/>
      <c r="P10" s="316"/>
      <c r="Q10" s="316"/>
      <c r="R10" s="317"/>
      <c r="V10" s="310" t="s">
        <v>10</v>
      </c>
      <c r="W10" s="310"/>
      <c r="X10" s="310"/>
    </row>
    <row r="11" spans="1:24" ht="15.75" thickBot="1" x14ac:dyDescent="0.3">
      <c r="A11" s="177"/>
      <c r="B11" s="2"/>
      <c r="C11" s="42" t="s">
        <v>107</v>
      </c>
      <c r="D11" s="9"/>
      <c r="E11" s="42" t="s">
        <v>108</v>
      </c>
      <c r="G11" s="42" t="s">
        <v>46</v>
      </c>
      <c r="M11" s="37"/>
      <c r="N11" s="318" t="s">
        <v>12</v>
      </c>
      <c r="O11" s="319"/>
      <c r="P11" s="320" t="s">
        <v>25</v>
      </c>
      <c r="Q11" s="321"/>
      <c r="R11" s="324" t="s">
        <v>9</v>
      </c>
      <c r="S11" s="322" t="s">
        <v>7</v>
      </c>
      <c r="V11" s="5" t="s">
        <v>5</v>
      </c>
      <c r="W11" s="5" t="s">
        <v>2</v>
      </c>
      <c r="X11" s="5" t="s">
        <v>48</v>
      </c>
    </row>
    <row r="12" spans="1:24" ht="19.5" customHeight="1" thickBot="1" x14ac:dyDescent="0.3">
      <c r="A12" s="176">
        <v>1</v>
      </c>
      <c r="B12" s="2" t="s">
        <v>44</v>
      </c>
      <c r="C12" s="68">
        <v>0</v>
      </c>
      <c r="D12" s="9" t="s">
        <v>45</v>
      </c>
      <c r="E12" s="68">
        <v>0</v>
      </c>
      <c r="F12" s="47" t="s">
        <v>47</v>
      </c>
      <c r="G12" s="116">
        <f>IF(A12=2,(C12/100)*(E12/100),(A13/100)*(A14/100))</f>
        <v>0</v>
      </c>
      <c r="I12" s="9" t="s">
        <v>118</v>
      </c>
      <c r="M12" s="37"/>
      <c r="N12" s="28" t="s">
        <v>23</v>
      </c>
      <c r="O12" s="29" t="s">
        <v>24</v>
      </c>
      <c r="P12" s="28" t="s">
        <v>23</v>
      </c>
      <c r="Q12" s="29" t="s">
        <v>24</v>
      </c>
      <c r="R12" s="325"/>
      <c r="S12" s="323"/>
      <c r="V12" s="6">
        <v>1</v>
      </c>
      <c r="W12" s="45" t="str">
        <f>IF($A$5=1,VLOOKUP(V12,Cartones!$A$2:$F$13,6,FALSE),IF($A$5=2,VLOOKUP(V12,Cartones!$A$14:$F$48,6,FALSE), VLOOKUP(V12,Cartones!$A$49:$F$71,6,FALSE)))</f>
        <v>DOBLE CORRUGADO BLANCO-KRAFT FLAUTA BC 33 ECT</v>
      </c>
      <c r="X12" s="7">
        <f>IF($A$5=1,VLOOKUP(V12,Cartones!$A$2:$F$13,5,FALSE),IF($A$5=2,VLOOKUP(V12,Cartones!$A$14:$F$48,5,FALSE), VLOOKUP(V12,Cartones!$A$49:$F$71,5,FALSE)))</f>
        <v>11.53</v>
      </c>
    </row>
    <row r="13" spans="1:24" ht="15.75" thickBot="1" x14ac:dyDescent="0.3">
      <c r="A13" s="178">
        <f>(2*C10) + (2*E10)+S4</f>
        <v>4</v>
      </c>
      <c r="I13" s="68">
        <v>0</v>
      </c>
      <c r="M13" s="37"/>
      <c r="N13" s="25"/>
      <c r="O13" s="31"/>
      <c r="P13" s="25"/>
      <c r="Q13" s="26"/>
      <c r="R13" s="80"/>
      <c r="S13" s="35"/>
      <c r="V13" s="6">
        <v>2</v>
      </c>
      <c r="W13" s="45" t="str">
        <f>IF($A$5=1,VLOOKUP(V13,Cartones!$A$2:$F$13,6,FALSE),IF($A$5=2,VLOOKUP(V13,Cartones!$A$14:$F$48,6,FALSE), VLOOKUP(V13,Cartones!$A$49:$F$71,6,FALSE)))</f>
        <v>DOBLE CORRUGADO BLANCO-KRAFT FLAUTA BC 42 ECT</v>
      </c>
      <c r="X13" s="7">
        <f>IF($A$5=1,VLOOKUP(V13,Cartones!$A$2:$F$13,5,FALSE),IF($A$5=2,VLOOKUP(V13,Cartones!$A$14:$F$48,5,FALSE), VLOOKUP(V13,Cartones!$A$49:$F$71,5,FALSE)))</f>
        <v>13.462</v>
      </c>
    </row>
    <row r="14" spans="1:24" ht="15.75" thickBot="1" x14ac:dyDescent="0.3">
      <c r="A14" s="178">
        <f>G10+E10</f>
        <v>0</v>
      </c>
      <c r="B14" s="2"/>
      <c r="C14" s="2" t="s">
        <v>109</v>
      </c>
      <c r="E14" s="68">
        <v>0</v>
      </c>
      <c r="M14" s="37" t="s">
        <v>21</v>
      </c>
      <c r="N14" s="25">
        <v>0.33</v>
      </c>
      <c r="O14" s="31">
        <f>I25/500</f>
        <v>20.062000000000001</v>
      </c>
      <c r="P14" s="25">
        <f>IF(C2&lt;=1000,1,0)</f>
        <v>0</v>
      </c>
      <c r="Q14" s="26">
        <f>IF(C2&lt;=1000,2,0)</f>
        <v>0</v>
      </c>
      <c r="R14" s="80">
        <f>ROUNDUP(2*C2/1000,0)</f>
        <v>20</v>
      </c>
      <c r="S14" s="41">
        <f>(N14*P14*$O$8)+(O14*Q14*$O$8)</f>
        <v>0</v>
      </c>
      <c r="V14" s="6">
        <v>3</v>
      </c>
      <c r="W14" s="45" t="str">
        <f>IF($A$5=1,VLOOKUP(V14,Cartones!$A$2:$F$13,6,FALSE),IF($A$5=2,VLOOKUP(V14,Cartones!$A$14:$F$48,6,FALSE), VLOOKUP(V14,Cartones!$A$49:$F$71,6,FALSE)))</f>
        <v>DOBLE CORRUGADO BLANCO-KRAFT FLAUTA BC 48 ECT</v>
      </c>
      <c r="X14" s="7">
        <f>IF($A$5=1,VLOOKUP(V14,Cartones!$A$2:$F$13,5,FALSE),IF($A$5=2,VLOOKUP(V14,Cartones!$A$14:$F$48,5,FALSE), VLOOKUP(V14,Cartones!$A$49:$F$71,5,FALSE)))</f>
        <v>14.574</v>
      </c>
    </row>
    <row r="15" spans="1:24" ht="15.75" thickBot="1" x14ac:dyDescent="0.3">
      <c r="A15" s="176">
        <f>IF(A12=2,(C12/100)*(E12/100),(A13/100)*(A14/100))</f>
        <v>0</v>
      </c>
      <c r="B15" s="10"/>
      <c r="C15" s="330" t="s">
        <v>161</v>
      </c>
      <c r="D15" s="330"/>
      <c r="E15" s="330"/>
      <c r="M15" s="37" t="s">
        <v>22</v>
      </c>
      <c r="N15" s="25">
        <v>0.33</v>
      </c>
      <c r="O15" s="32">
        <f>I25/500</f>
        <v>20.062000000000001</v>
      </c>
      <c r="P15" s="19">
        <f>IF(C2&lt;=1000,1,0)</f>
        <v>0</v>
      </c>
      <c r="Q15" s="20">
        <f>IF(C2&lt;=1000,2,0)</f>
        <v>0</v>
      </c>
      <c r="R15" s="81">
        <f>ROUNDUP(5*C2/1000,0)</f>
        <v>50</v>
      </c>
      <c r="S15" s="41">
        <f>(N15*P15*$O$8)+(O15*Q15*$O$8)</f>
        <v>0</v>
      </c>
      <c r="V15" s="6">
        <v>4</v>
      </c>
      <c r="W15" s="45" t="str">
        <f>IF($A$5=1,VLOOKUP(V15,Cartones!$A$2:$F$13,6,FALSE),IF($A$5=2,VLOOKUP(V15,Cartones!$A$14:$F$48,6,FALSE), VLOOKUP(V15,Cartones!$A$49:$F$71,6,FALSE)))</f>
        <v xml:space="preserve">DOBLE CORRUGADO KRAFT-KRAFT FLAUTA BC 35 ECT </v>
      </c>
      <c r="X15" s="7">
        <f>IF($A$5=1,VLOOKUP(V15,Cartones!$A$2:$F$13,5,FALSE),IF($A$5=2,VLOOKUP(V15,Cartones!$A$14:$F$48,5,FALSE), VLOOKUP(V15,Cartones!$A$49:$F$71,5,FALSE)))</f>
        <v>10.89</v>
      </c>
    </row>
    <row r="16" spans="1:24" ht="15.75" thickBot="1" x14ac:dyDescent="0.3">
      <c r="A16" s="177"/>
      <c r="C16" s="42" t="s">
        <v>107</v>
      </c>
      <c r="D16" s="9"/>
      <c r="E16" s="42" t="s">
        <v>108</v>
      </c>
      <c r="G16" s="119" t="s">
        <v>159</v>
      </c>
      <c r="M16" s="37" t="s">
        <v>15</v>
      </c>
      <c r="N16" s="25">
        <v>0.67</v>
      </c>
      <c r="O16" s="32">
        <f>I25/1000</f>
        <v>10.031000000000001</v>
      </c>
      <c r="P16" s="19">
        <v>2</v>
      </c>
      <c r="Q16" s="20">
        <v>4</v>
      </c>
      <c r="R16" s="81">
        <f>ROUNDUP(6*C2/1000,0)</f>
        <v>60</v>
      </c>
      <c r="S16" s="41">
        <f>(N16*P16*$O$8)+(O16*Q16*$O$8)</f>
        <v>3939.0800000000004</v>
      </c>
      <c r="V16" s="6">
        <v>5</v>
      </c>
      <c r="W16" s="45" t="str">
        <f>IF($A$5=1,VLOOKUP(V16,Cartones!$A$2:$F$13,6,FALSE),IF($A$5=2,VLOOKUP(V16,Cartones!$A$14:$F$48,6,FALSE), VLOOKUP(V16,Cartones!$A$49:$F$71,6,FALSE)))</f>
        <v>DOBLE CORRUGADO KRAFT-KRAFT FLAUTA BC 36 ECT</v>
      </c>
      <c r="X16" s="7">
        <f>IF($A$5=1,VLOOKUP(V16,Cartones!$A$2:$F$13,5,FALSE),IF($A$5=2,VLOOKUP(V16,Cartones!$A$14:$F$48,5,FALSE), VLOOKUP(V16,Cartones!$A$49:$F$71,5,FALSE)))</f>
        <v>10.419</v>
      </c>
    </row>
    <row r="17" spans="1:24" ht="15.75" thickBot="1" x14ac:dyDescent="0.3">
      <c r="A17" s="176">
        <v>2</v>
      </c>
      <c r="B17" s="2" t="s">
        <v>162</v>
      </c>
      <c r="C17" s="68">
        <v>0</v>
      </c>
      <c r="D17" s="9" t="s">
        <v>45</v>
      </c>
      <c r="E17" s="68">
        <v>0</v>
      </c>
      <c r="F17" s="47" t="s">
        <v>47</v>
      </c>
      <c r="G17" s="163">
        <f xml:space="preserve"> C17*E17</f>
        <v>0</v>
      </c>
      <c r="H17" s="2" t="s">
        <v>155</v>
      </c>
      <c r="M17" s="37" t="s">
        <v>16</v>
      </c>
      <c r="N17" s="25">
        <v>0.17</v>
      </c>
      <c r="O17" s="32">
        <f>I25/500</f>
        <v>20.062000000000001</v>
      </c>
      <c r="P17" s="19">
        <v>1</v>
      </c>
      <c r="Q17" s="20">
        <v>2</v>
      </c>
      <c r="R17" s="81">
        <f>ROUNDUP(5*C2/1000,0)</f>
        <v>50</v>
      </c>
      <c r="S17" s="41">
        <f>(N17*P17*$O$8)+(O17*Q17*$O$8)</f>
        <v>3827.9300000000003</v>
      </c>
      <c r="V17" s="6">
        <v>6</v>
      </c>
      <c r="W17" s="45" t="str">
        <f>IF($A$5=1,VLOOKUP(V17,Cartones!$A$2:$F$13,6,FALSE),IF($A$5=2,VLOOKUP(V17,Cartones!$A$14:$F$48,6,FALSE), VLOOKUP(V17,Cartones!$A$49:$F$71,6,FALSE)))</f>
        <v>DOBLE CORRUGADO KRAFT-KRAFT FLAUTA BC 39 ECT</v>
      </c>
      <c r="X17" s="7">
        <f>IF($A$5=1,VLOOKUP(V17,Cartones!$A$2:$F$13,5,FALSE),IF($A$5=2,VLOOKUP(V17,Cartones!$A$14:$F$48,5,FALSE), VLOOKUP(V17,Cartones!$A$49:$F$71,5,FALSE)))</f>
        <v>11.12</v>
      </c>
    </row>
    <row r="18" spans="1:24" ht="15.75" thickBot="1" x14ac:dyDescent="0.3">
      <c r="A18" s="176"/>
      <c r="B18" s="2" t="s">
        <v>163</v>
      </c>
      <c r="C18" s="68">
        <v>0</v>
      </c>
      <c r="D18" s="9" t="s">
        <v>45</v>
      </c>
      <c r="E18" s="68">
        <v>0</v>
      </c>
      <c r="F18" s="47" t="s">
        <v>47</v>
      </c>
      <c r="G18" s="163">
        <f t="shared" ref="G18:G20" si="0" xml:space="preserve"> C18*E18</f>
        <v>0</v>
      </c>
      <c r="H18" s="2"/>
      <c r="M18" s="71" t="s">
        <v>17</v>
      </c>
      <c r="N18" s="72">
        <v>0.25</v>
      </c>
      <c r="O18" s="73">
        <f>I25/1000</f>
        <v>10.031000000000001</v>
      </c>
      <c r="P18" s="74">
        <v>1</v>
      </c>
      <c r="Q18" s="75">
        <v>2</v>
      </c>
      <c r="R18" s="78">
        <f>ROUNDUP(10*C2/1000,0)</f>
        <v>100</v>
      </c>
      <c r="S18" s="77">
        <f>T18</f>
        <v>1929.64</v>
      </c>
      <c r="T18" s="79">
        <f>(N18*P18*$O$8)+(O18*Q18*$O$8)</f>
        <v>1929.64</v>
      </c>
      <c r="V18" s="6">
        <v>7</v>
      </c>
      <c r="W18" s="45" t="str">
        <f>IF($A$5=1,VLOOKUP(V18,Cartones!$A$2:$F$13,6,FALSE),IF($A$5=2,VLOOKUP(V18,Cartones!$A$14:$F$48,6,FALSE), VLOOKUP(V18,Cartones!$A$49:$F$71,6,FALSE)))</f>
        <v>DOBLE CORRUGADO KRAFT-KRAFT FLAUTA BC 42 ECT</v>
      </c>
      <c r="X18" s="7">
        <f>IF($A$5=1,VLOOKUP(V18,Cartones!$A$2:$F$13,5,FALSE),IF($A$5=2,VLOOKUP(V18,Cartones!$A$14:$F$48,5,FALSE), VLOOKUP(V18,Cartones!$A$49:$F$71,5,FALSE)))</f>
        <v>12.584</v>
      </c>
    </row>
    <row r="19" spans="1:24" ht="15.75" thickBot="1" x14ac:dyDescent="0.3">
      <c r="A19" s="176"/>
      <c r="B19" s="2" t="s">
        <v>164</v>
      </c>
      <c r="C19" s="68">
        <v>0</v>
      </c>
      <c r="D19" s="9" t="s">
        <v>45</v>
      </c>
      <c r="E19" s="68">
        <v>0</v>
      </c>
      <c r="F19" s="47" t="s">
        <v>47</v>
      </c>
      <c r="G19" s="163">
        <f t="shared" si="0"/>
        <v>0</v>
      </c>
      <c r="H19" s="2"/>
      <c r="M19" s="71" t="s">
        <v>18</v>
      </c>
      <c r="N19" s="109">
        <f>IF($C$2&lt;=1000,0,0)</f>
        <v>0</v>
      </c>
      <c r="O19" s="73">
        <f>I25/500</f>
        <v>20.062000000000001</v>
      </c>
      <c r="P19" s="74">
        <v>0</v>
      </c>
      <c r="Q19" s="75">
        <v>2</v>
      </c>
      <c r="R19" s="78">
        <f>ROUNDUP(20*C2/1000,0)</f>
        <v>200</v>
      </c>
      <c r="S19" s="77">
        <f>T19</f>
        <v>3811.78</v>
      </c>
      <c r="T19" s="79">
        <f>(N19*P19*$O$8)+(O19*Q19*$O$8)</f>
        <v>3811.78</v>
      </c>
      <c r="V19" s="6">
        <v>8</v>
      </c>
      <c r="W19" s="45" t="str">
        <f>IF($A$5=1,VLOOKUP(V19,Cartones!$A$2:$F$13,6,FALSE),IF($A$5=2,VLOOKUP(V19,Cartones!$A$14:$F$48,6,FALSE), VLOOKUP(V19,Cartones!$A$49:$F$71,6,FALSE)))</f>
        <v xml:space="preserve">DOBLE CORRUGADO KRAFT-KRAFT FLAUTA BC 46 ECT </v>
      </c>
      <c r="X19" s="7">
        <f>IF($A$5=1,VLOOKUP(V19,Cartones!$A$2:$F$13,5,FALSE),IF($A$5=2,VLOOKUP(V19,Cartones!$A$14:$F$48,5,FALSE), VLOOKUP(V19,Cartones!$A$49:$F$71,5,FALSE)))</f>
        <v>13.95</v>
      </c>
    </row>
    <row r="20" spans="1:24" ht="15.75" thickBot="1" x14ac:dyDescent="0.3">
      <c r="A20" s="176"/>
      <c r="B20" s="2" t="s">
        <v>165</v>
      </c>
      <c r="C20" s="68">
        <v>0</v>
      </c>
      <c r="D20" s="9" t="s">
        <v>45</v>
      </c>
      <c r="E20" s="68">
        <v>0</v>
      </c>
      <c r="F20" s="47" t="s">
        <v>47</v>
      </c>
      <c r="G20" s="164">
        <f t="shared" si="0"/>
        <v>0</v>
      </c>
      <c r="H20" s="2"/>
      <c r="M20" s="71" t="s">
        <v>154</v>
      </c>
      <c r="N20" s="109">
        <f>IF(A17=1,1.5,2)</f>
        <v>2</v>
      </c>
      <c r="O20" s="73">
        <f>IF(A17=1,C2*2.5/1000,C2*0.4/1000)</f>
        <v>4</v>
      </c>
      <c r="P20" s="74">
        <v>1</v>
      </c>
      <c r="Q20" s="75">
        <f>IF(A17=1,2,3)</f>
        <v>3</v>
      </c>
      <c r="R20" s="78">
        <f>ROUNDUP(10*C2/1000,0)</f>
        <v>100</v>
      </c>
      <c r="S20" s="77" t="e">
        <f>T20</f>
        <v>#DIV/0!</v>
      </c>
      <c r="T20" s="79" t="e">
        <f>IF(I13&gt;0,(N20*P20*$O$8)+(O20*Q20*$O$8), 1/0)</f>
        <v>#DIV/0!</v>
      </c>
      <c r="V20" s="6">
        <v>9</v>
      </c>
      <c r="W20" s="45" t="str">
        <f>IF($A$5=1,VLOOKUP(V20,Cartones!$A$2:$F$13,6,FALSE),IF($A$5=2,VLOOKUP(V20,Cartones!$A$14:$F$48,6,FALSE), VLOOKUP(V20,Cartones!$A$49:$F$71,6,FALSE)))</f>
        <v>DOBLE CORRUGADO KRAFT-KRAFT FLAUTA BC 48 ECT</v>
      </c>
      <c r="X20" s="7">
        <f>IF($A$5=1,VLOOKUP(V20,Cartones!$A$2:$F$13,5,FALSE),IF($A$5=2,VLOOKUP(V20,Cartones!$A$14:$F$48,5,FALSE), VLOOKUP(V20,Cartones!$A$49:$F$71,5,FALSE)))</f>
        <v>14.132999999999999</v>
      </c>
    </row>
    <row r="21" spans="1:24" x14ac:dyDescent="0.25">
      <c r="A21" s="176"/>
      <c r="B21" s="2"/>
      <c r="C21" s="2"/>
      <c r="D21" s="2"/>
      <c r="E21" s="2"/>
      <c r="F21" s="2" t="s">
        <v>160</v>
      </c>
      <c r="G21" s="165">
        <f>SUM(G16:G20)</f>
        <v>0</v>
      </c>
      <c r="H21" s="2"/>
      <c r="M21" s="37" t="s">
        <v>19</v>
      </c>
      <c r="N21" s="110">
        <f>IF($C$2&lt;=1000,0,0)</f>
        <v>0</v>
      </c>
      <c r="O21" s="32">
        <f>I25/1000</f>
        <v>10.031000000000001</v>
      </c>
      <c r="P21" s="19">
        <v>0</v>
      </c>
      <c r="Q21" s="20">
        <v>1</v>
      </c>
      <c r="R21" s="81">
        <v>0</v>
      </c>
      <c r="S21" s="41">
        <f t="shared" ref="S21:S22" si="1">(N21*P21*$O$8)+(O21*Q21*$O$8)</f>
        <v>952.94500000000005</v>
      </c>
      <c r="V21" s="6">
        <v>10</v>
      </c>
      <c r="W21" s="45" t="str">
        <f>IF($A$5=1,VLOOKUP(V21,Cartones!$A$2:$F$13,6,FALSE),IF($A$5=2,VLOOKUP(V21,Cartones!$A$14:$F$48,6,FALSE), VLOOKUP(V21,Cartones!$A$49:$F$71,6,FALSE)))</f>
        <v>DOBLE CORRUGADO KRAFT-KRAFT FLAUTA BC 51 ECT</v>
      </c>
      <c r="X21" s="7">
        <f>IF($A$5=1,VLOOKUP(V21,Cartones!$A$2:$F$13,5,FALSE),IF($A$5=2,VLOOKUP(V21,Cartones!$A$14:$F$48,5,FALSE), VLOOKUP(V21,Cartones!$A$49:$F$71,5,FALSE)))</f>
        <v>14.691000000000001</v>
      </c>
    </row>
    <row r="22" spans="1:24" ht="15.75" thickBot="1" x14ac:dyDescent="0.3">
      <c r="I22" s="107" t="str">
        <f>IF(AND(A32=1,A17&lt;=0),"SELECCIONAR TIPO DE SUAJADO","")</f>
        <v/>
      </c>
      <c r="M22" s="38" t="s">
        <v>20</v>
      </c>
      <c r="N22" s="111">
        <f>IF($C$2&lt;=1000,0,0)</f>
        <v>0</v>
      </c>
      <c r="O22" s="39">
        <f>I25/1000</f>
        <v>10.031000000000001</v>
      </c>
      <c r="P22" s="21">
        <v>0</v>
      </c>
      <c r="Q22" s="22">
        <v>1</v>
      </c>
      <c r="R22" s="82">
        <v>0</v>
      </c>
      <c r="S22" s="36">
        <f t="shared" si="1"/>
        <v>952.94500000000005</v>
      </c>
      <c r="V22" s="6">
        <v>11</v>
      </c>
      <c r="W22" s="45" t="str">
        <f>IF($A$5=1,VLOOKUP(V22,Cartones!$A$2:$F$13,6,FALSE),IF($A$5=2,VLOOKUP(V22,Cartones!$A$14:$F$48,6,FALSE), VLOOKUP(V22,Cartones!$A$49:$F$71,6,FALSE)))</f>
        <v xml:space="preserve">DOBLE CORRUGADO KRAFT-KRAFT FLAUTA BC 52 ECT </v>
      </c>
      <c r="X22" s="7">
        <f>IF($A$5=1,VLOOKUP(V22,Cartones!$A$2:$F$13,5,FALSE),IF($A$5=2,VLOOKUP(V22,Cartones!$A$14:$F$48,5,FALSE), VLOOKUP(V22,Cartones!$A$49:$F$71,5,FALSE)))</f>
        <v>15.9</v>
      </c>
    </row>
    <row r="23" spans="1:24" ht="15.75" thickBot="1" x14ac:dyDescent="0.3">
      <c r="B23" s="2"/>
      <c r="E23" s="329" t="s">
        <v>148</v>
      </c>
      <c r="F23" s="329"/>
      <c r="N23" s="34"/>
      <c r="O23" s="34"/>
      <c r="P23" s="16"/>
      <c r="Q23" s="16"/>
      <c r="R23" s="16">
        <f>SUM(R13:R22)</f>
        <v>580</v>
      </c>
      <c r="S23" s="40"/>
      <c r="V23" s="6">
        <v>12</v>
      </c>
      <c r="W23" s="45" t="str">
        <f>IF($A$5=1,VLOOKUP(V23,Cartones!$A$2:$F$13,6,FALSE),IF($A$5=2,VLOOKUP(V23,Cartones!$A$14:$F$48,6,FALSE), VLOOKUP(V23,Cartones!$A$49:$F$71,6,FALSE)))</f>
        <v>DOBLE CORRUGADO KRAFT-KRAFT FLAUTA BC 61 ECT</v>
      </c>
      <c r="X23" s="7">
        <f>IF($A$5=1,VLOOKUP(V23,Cartones!$A$2:$F$13,5,FALSE),IF($A$5=2,VLOOKUP(V23,Cartones!$A$14:$F$48,5,FALSE), VLOOKUP(V23,Cartones!$A$49:$F$71,5,FALSE)))</f>
        <v>16.722000000000001</v>
      </c>
    </row>
    <row r="24" spans="1:24" ht="15.75" thickBot="1" x14ac:dyDescent="0.3">
      <c r="B24" s="129" t="s">
        <v>1</v>
      </c>
      <c r="C24" s="130" t="s">
        <v>144</v>
      </c>
      <c r="D24" s="130"/>
      <c r="E24" s="131" t="s">
        <v>145</v>
      </c>
      <c r="F24" s="131" t="s">
        <v>146</v>
      </c>
      <c r="G24" s="132" t="s">
        <v>147</v>
      </c>
      <c r="H24" s="331" t="s">
        <v>14</v>
      </c>
      <c r="I24" s="332"/>
      <c r="J24" s="85"/>
      <c r="N24" s="311"/>
      <c r="O24" s="311"/>
      <c r="P24" s="16"/>
      <c r="Q24" s="16"/>
      <c r="R24" s="16"/>
      <c r="V24" s="6">
        <v>13</v>
      </c>
      <c r="W24" s="45" t="e">
        <f>IF($A$5=1,VLOOKUP(V24,Cartones!$A$2:$F$13,6,FALSE),IF($A$5=2,VLOOKUP(V24,Cartones!$A$14:$F$48,6,FALSE), VLOOKUP(V24,Cartones!$A$49:$F$71,6,FALSE)))</f>
        <v>#N/A</v>
      </c>
      <c r="X24" s="7" t="e">
        <f>IF($A$5=1,VLOOKUP(V24,Cartones!$A$2:$F$13,5,FALSE),IF($A$5=2,VLOOKUP(V24,Cartones!$A$14:$F$48,5,FALSE), VLOOKUP(V24,Cartones!$A$49:$F$71,5,FALSE)))</f>
        <v>#N/A</v>
      </c>
    </row>
    <row r="25" spans="1:24" ht="15.75" thickBot="1" x14ac:dyDescent="0.3">
      <c r="A25" s="176">
        <f>IF(A3=2,1,0)</f>
        <v>0</v>
      </c>
      <c r="B25" s="124" t="s">
        <v>26</v>
      </c>
      <c r="C25" s="118">
        <f t="shared" ref="C25:C30" si="2">IF(A25=1,IF($A$3=1,$R13,$R28),0)</f>
        <v>0</v>
      </c>
      <c r="D25" s="84"/>
      <c r="E25" s="86">
        <f t="shared" ref="E25:E34" si="3">IF(A25=1,IF($A$3=1,$N13,$N28),0)</f>
        <v>0</v>
      </c>
      <c r="F25" s="86">
        <f t="shared" ref="F25:F34" si="4">IF(A25=1,IF($A$3=1,$O13,$O28),0)</f>
        <v>0</v>
      </c>
      <c r="G25" s="133">
        <f t="shared" ref="G25:G31" si="5">IF(A25=1,IF($A$3=1,$S13,$S28),0)</f>
        <v>0</v>
      </c>
      <c r="H25" s="120" t="s">
        <v>27</v>
      </c>
      <c r="I25" s="121">
        <f>C2+C35</f>
        <v>10031</v>
      </c>
      <c r="J25" s="84"/>
      <c r="M25" s="30"/>
      <c r="N25" s="315" t="s">
        <v>29</v>
      </c>
      <c r="O25" s="316"/>
      <c r="P25" s="316"/>
      <c r="Q25" s="316"/>
      <c r="R25" s="317"/>
      <c r="V25" s="6">
        <v>14</v>
      </c>
      <c r="W25" s="45" t="e">
        <f>IF($A$5=1,VLOOKUP(V25,Cartones!$A$2:$F$13,6,FALSE),IF($A$5=2,VLOOKUP(V25,Cartones!$A$14:$F$48,6,FALSE), VLOOKUP(V25,Cartones!$A$49:$F$71,6,FALSE)))</f>
        <v>#N/A</v>
      </c>
      <c r="X25" s="7" t="e">
        <f>IF($A$5=1,VLOOKUP(V25,Cartones!$A$2:$F$13,5,FALSE),IF($A$5=2,VLOOKUP(V25,Cartones!$A$14:$F$48,5,FALSE), VLOOKUP(V25,Cartones!$A$49:$F$71,5,FALSE)))</f>
        <v>#N/A</v>
      </c>
    </row>
    <row r="26" spans="1:24" ht="16.5" thickBot="1" x14ac:dyDescent="0.3">
      <c r="A26" s="176">
        <f>VLOOKUP($A$4,$M$69:$W$73,3,FALSE)</f>
        <v>1</v>
      </c>
      <c r="B26" s="124" t="s">
        <v>21</v>
      </c>
      <c r="C26" s="118">
        <f t="shared" si="2"/>
        <v>20</v>
      </c>
      <c r="D26" s="10"/>
      <c r="E26" s="86">
        <f t="shared" si="3"/>
        <v>0.33</v>
      </c>
      <c r="F26" s="86">
        <f t="shared" si="4"/>
        <v>20.062000000000001</v>
      </c>
      <c r="G26" s="134">
        <f t="shared" si="5"/>
        <v>0</v>
      </c>
      <c r="H26" s="120" t="s">
        <v>49</v>
      </c>
      <c r="I26" s="122">
        <f>I25*A15</f>
        <v>0</v>
      </c>
      <c r="J26" s="10"/>
      <c r="M26" s="37"/>
      <c r="N26" s="318" t="s">
        <v>12</v>
      </c>
      <c r="O26" s="319"/>
      <c r="P26" s="320" t="s">
        <v>25</v>
      </c>
      <c r="Q26" s="321"/>
      <c r="R26" s="322" t="s">
        <v>9</v>
      </c>
      <c r="S26" s="322" t="s">
        <v>7</v>
      </c>
      <c r="V26" s="6">
        <v>15</v>
      </c>
      <c r="W26" s="45" t="e">
        <f>IF($A$5=1,VLOOKUP(V26,Cartones!$A$2:$F$13,6,FALSE),IF($A$5=2,VLOOKUP(V26,Cartones!$A$14:$F$48,6,FALSE), VLOOKUP(V26,Cartones!$A$49:$F$71,6,FALSE)))</f>
        <v>#N/A</v>
      </c>
      <c r="X26" s="7" t="e">
        <f>IF($A$5=1,VLOOKUP(V26,Cartones!$A$2:$F$13,5,FALSE),IF($A$5=2,VLOOKUP(V26,Cartones!$A$14:$F$48,5,FALSE), VLOOKUP(V26,Cartones!$A$49:$F$71,5,FALSE)))</f>
        <v>#N/A</v>
      </c>
    </row>
    <row r="27" spans="1:24" ht="15.75" thickBot="1" x14ac:dyDescent="0.3">
      <c r="A27" s="176">
        <f>VLOOKUP($A$4,$M$69:$W$73,4,FALSE)</f>
        <v>1</v>
      </c>
      <c r="B27" s="124" t="s">
        <v>22</v>
      </c>
      <c r="C27" s="118">
        <f t="shared" si="2"/>
        <v>50</v>
      </c>
      <c r="D27" s="86"/>
      <c r="E27" s="86">
        <f t="shared" si="3"/>
        <v>0.33</v>
      </c>
      <c r="F27" s="86">
        <f t="shared" si="4"/>
        <v>20.062000000000001</v>
      </c>
      <c r="G27" s="134">
        <f t="shared" si="5"/>
        <v>0</v>
      </c>
      <c r="H27" s="120" t="s">
        <v>104</v>
      </c>
      <c r="I27" s="123">
        <f>VLOOKUP(A6,V12:X46,3,FALSE)</f>
        <v>14.132999999999999</v>
      </c>
      <c r="J27" s="86"/>
      <c r="M27" s="37"/>
      <c r="N27" s="28" t="s">
        <v>23</v>
      </c>
      <c r="O27" s="29" t="s">
        <v>24</v>
      </c>
      <c r="P27" s="28" t="s">
        <v>23</v>
      </c>
      <c r="Q27" s="29" t="s">
        <v>24</v>
      </c>
      <c r="R27" s="323"/>
      <c r="S27" s="323"/>
      <c r="V27" s="6">
        <v>16</v>
      </c>
      <c r="W27" s="45" t="e">
        <f>IF($A$5=1,VLOOKUP(V27,Cartones!$A$2:$F$13,6,FALSE),IF($A$5=2,VLOOKUP(V27,Cartones!$A$14:$F$48,6,FALSE), VLOOKUP(V27,Cartones!$A$49:$F$71,6,FALSE)))</f>
        <v>#N/A</v>
      </c>
      <c r="X27" s="7" t="e">
        <f>IF($A$5=1,VLOOKUP(V27,Cartones!$A$2:$F$13,5,FALSE),IF($A$5=2,VLOOKUP(V27,Cartones!$A$14:$F$48,5,FALSE), VLOOKUP(V27,Cartones!$A$49:$F$71,5,FALSE)))</f>
        <v>#N/A</v>
      </c>
    </row>
    <row r="28" spans="1:24" ht="15.75" thickBot="1" x14ac:dyDescent="0.3">
      <c r="A28" s="176">
        <f>VLOOKUP($A$4,$M$69:$W$73,5,FALSE)</f>
        <v>0</v>
      </c>
      <c r="B28" s="124" t="s">
        <v>158</v>
      </c>
      <c r="C28" s="118">
        <f t="shared" si="2"/>
        <v>0</v>
      </c>
      <c r="D28" s="117"/>
      <c r="E28" s="86">
        <f t="shared" si="3"/>
        <v>0</v>
      </c>
      <c r="F28" s="86">
        <f t="shared" si="4"/>
        <v>0</v>
      </c>
      <c r="G28" s="134">
        <f t="shared" si="5"/>
        <v>0</v>
      </c>
      <c r="H28" s="124"/>
      <c r="I28" s="125"/>
      <c r="J28" s="83"/>
      <c r="M28" s="37" t="s">
        <v>26</v>
      </c>
      <c r="N28" s="25">
        <v>1</v>
      </c>
      <c r="O28" s="31">
        <f>C2*1.5/1000</f>
        <v>15</v>
      </c>
      <c r="P28" s="25">
        <v>2</v>
      </c>
      <c r="Q28" s="26">
        <v>4</v>
      </c>
      <c r="R28" s="27">
        <f>IF(A25=1,ROUNDUP(15*C2/1000,0),0)</f>
        <v>0</v>
      </c>
      <c r="S28" s="69" t="e">
        <f>IF(E14&gt;0,T28,1/0)</f>
        <v>#DIV/0!</v>
      </c>
      <c r="T28" s="69">
        <f>(N28*P28*$O$8)+(O28*Q28*$O$8)</f>
        <v>5890</v>
      </c>
      <c r="U28" s="70"/>
      <c r="V28" s="46">
        <v>17</v>
      </c>
      <c r="W28" s="45" t="e">
        <f>IF($A$5=1,VLOOKUP(V28,Cartones!$A$2:$F$13,6,FALSE),IF($A$5=2,VLOOKUP(V28,Cartones!$A$14:$F$48,6,FALSE), VLOOKUP(V28,Cartones!$A$49:$F$71,6,FALSE)))</f>
        <v>#N/A</v>
      </c>
      <c r="X28" s="7" t="e">
        <f>IF($A$5=1,VLOOKUP(V28,Cartones!$A$2:$F$13,5,FALSE),IF($A$5=2,VLOOKUP(V28,Cartones!$A$14:$F$48,5,FALSE), VLOOKUP(V28,Cartones!$A$49:$F$71,5,FALSE)))</f>
        <v>#N/A</v>
      </c>
    </row>
    <row r="29" spans="1:24" x14ac:dyDescent="0.25">
      <c r="A29" s="176">
        <f>VLOOKUP($A$4,$M$69:$W$73,6,FALSE)</f>
        <v>1</v>
      </c>
      <c r="B29" s="124" t="s">
        <v>16</v>
      </c>
      <c r="C29" s="118">
        <f t="shared" si="2"/>
        <v>50</v>
      </c>
      <c r="D29" s="10"/>
      <c r="E29" s="86">
        <f t="shared" si="3"/>
        <v>0.17</v>
      </c>
      <c r="F29" s="86">
        <f t="shared" si="4"/>
        <v>20.062000000000001</v>
      </c>
      <c r="G29" s="134">
        <f t="shared" si="5"/>
        <v>3827.9300000000003</v>
      </c>
      <c r="H29" s="120" t="s">
        <v>120</v>
      </c>
      <c r="I29" s="126">
        <f>C2*G21*O5</f>
        <v>0</v>
      </c>
      <c r="J29" s="10"/>
      <c r="M29" s="37" t="s">
        <v>21</v>
      </c>
      <c r="N29" s="25">
        <v>0.33</v>
      </c>
      <c r="O29" s="31">
        <f>I25/500</f>
        <v>20.062000000000001</v>
      </c>
      <c r="P29" s="25">
        <f>IF(C2&lt;=1000,1,0)</f>
        <v>0</v>
      </c>
      <c r="Q29" s="26">
        <f>IF(C2&lt;=1000,2,0)</f>
        <v>0</v>
      </c>
      <c r="R29" s="27">
        <f>IF(A26=1,ROUNDUP(2*C2/1000,0),0)</f>
        <v>20</v>
      </c>
      <c r="S29" s="41">
        <f>(N29*P29*$O$8)+(O29*Q29*$O$8)</f>
        <v>0</v>
      </c>
      <c r="V29" s="6">
        <v>18</v>
      </c>
      <c r="W29" s="45" t="e">
        <f>IF($A$5=1,VLOOKUP(V29,Cartones!$A$2:$F$13,6,FALSE),IF($A$5=2,VLOOKUP(V29,Cartones!$A$14:$F$48,6,FALSE), VLOOKUP(V29,Cartones!$A$49:$F$71,6,FALSE)))</f>
        <v>#N/A</v>
      </c>
      <c r="X29" s="7" t="e">
        <f>IF($A$5=1,VLOOKUP(V29,Cartones!$A$2:$F$13,5,FALSE),IF($A$5=2,VLOOKUP(V29,Cartones!$A$14:$F$48,5,FALSE), VLOOKUP(V29,Cartones!$A$49:$F$71,5,FALSE)))</f>
        <v>#N/A</v>
      </c>
    </row>
    <row r="30" spans="1:24" x14ac:dyDescent="0.25">
      <c r="A30" s="176">
        <f>VLOOKUP($A$4,$M$69:$W$73,7,FALSE)</f>
        <v>0</v>
      </c>
      <c r="B30" s="124" t="s">
        <v>17</v>
      </c>
      <c r="C30" s="118">
        <f t="shared" si="2"/>
        <v>0</v>
      </c>
      <c r="D30" s="10"/>
      <c r="E30" s="86">
        <f t="shared" si="3"/>
        <v>0</v>
      </c>
      <c r="F30" s="86">
        <f t="shared" si="4"/>
        <v>0</v>
      </c>
      <c r="G30" s="134">
        <f t="shared" si="5"/>
        <v>0</v>
      </c>
      <c r="H30" s="124"/>
      <c r="I30" s="125"/>
      <c r="M30" s="37" t="s">
        <v>22</v>
      </c>
      <c r="N30" s="25">
        <v>0.33</v>
      </c>
      <c r="O30" s="32">
        <f>I25/500</f>
        <v>20.062000000000001</v>
      </c>
      <c r="P30" s="19">
        <f>IF(C2&lt;=1000,1,0)</f>
        <v>0</v>
      </c>
      <c r="Q30" s="20">
        <f>IF(C2&lt;=1000,2,0)</f>
        <v>0</v>
      </c>
      <c r="R30" s="23">
        <f>IF(A27=1,ROUNDUP(5*C2/1000,0),0)</f>
        <v>50</v>
      </c>
      <c r="S30" s="41">
        <f>(N30*P30*$O$8)+(O30*Q30*$O$8)</f>
        <v>0</v>
      </c>
      <c r="V30" s="6">
        <v>19</v>
      </c>
      <c r="W30" s="45" t="e">
        <f>IF($A$5=1,VLOOKUP(V30,Cartones!$A$2:$F$13,6,FALSE),IF($A$5=2,VLOOKUP(V30,Cartones!$A$14:$F$48,6,FALSE), VLOOKUP(V30,Cartones!$A$49:$F$71,6,FALSE)))</f>
        <v>#N/A</v>
      </c>
      <c r="X30" s="7" t="e">
        <f>IF($A$5=1,VLOOKUP(V30,Cartones!$A$2:$F$13,5,FALSE),IF($A$5=2,VLOOKUP(V30,Cartones!$A$14:$F$48,5,FALSE), VLOOKUP(V30,Cartones!$A$49:$F$71,5,FALSE)))</f>
        <v>#N/A</v>
      </c>
    </row>
    <row r="31" spans="1:24" x14ac:dyDescent="0.25">
      <c r="A31" s="176">
        <f>VLOOKUP($A$4,$M$69:$W$73,8,FALSE)</f>
        <v>1</v>
      </c>
      <c r="B31" s="124" t="s">
        <v>18</v>
      </c>
      <c r="C31" s="118">
        <v>0</v>
      </c>
      <c r="D31" s="10"/>
      <c r="E31" s="86">
        <f t="shared" si="3"/>
        <v>0</v>
      </c>
      <c r="F31" s="86">
        <f t="shared" si="4"/>
        <v>20.062000000000001</v>
      </c>
      <c r="G31" s="134">
        <f t="shared" si="5"/>
        <v>3811.78</v>
      </c>
      <c r="H31" s="120" t="s">
        <v>152</v>
      </c>
      <c r="I31" s="127" t="e">
        <f>IF(G12&gt;0,(I26*I27),1/0)</f>
        <v>#DIV/0!</v>
      </c>
      <c r="J31" s="10"/>
      <c r="M31" s="37" t="s">
        <v>15</v>
      </c>
      <c r="N31" s="25">
        <v>0.67</v>
      </c>
      <c r="O31" s="32">
        <f>IF(AND(A3=1,OR(A4=1,A4=2)),I25/667,0)</f>
        <v>0</v>
      </c>
      <c r="P31" s="19">
        <v>2</v>
      </c>
      <c r="Q31" s="20">
        <v>4</v>
      </c>
      <c r="R31" s="81">
        <f>ROUNDUP(6*C2/1000,0)</f>
        <v>60</v>
      </c>
      <c r="S31" s="41">
        <f>(N31*P31*$O$8)+(O31*Q31*$O$8)</f>
        <v>127.30000000000001</v>
      </c>
      <c r="V31" s="6">
        <v>20</v>
      </c>
      <c r="W31" s="45" t="e">
        <f>IF($A$5=1,VLOOKUP(V31,Cartones!$A$2:$F$13,6,FALSE),IF($A$5=2,VLOOKUP(V31,Cartones!$A$14:$F$48,6,FALSE), VLOOKUP(V31,Cartones!$A$49:$F$71,6,FALSE)))</f>
        <v>#N/A</v>
      </c>
      <c r="X31" s="7" t="e">
        <f>IF($A$5=1,VLOOKUP(V31,Cartones!$A$2:$F$13,5,FALSE),IF($A$5=2,VLOOKUP(V31,Cartones!$A$14:$F$48,5,FALSE), VLOOKUP(V31,Cartones!$A$49:$F$71,5,FALSE)))</f>
        <v>#N/A</v>
      </c>
    </row>
    <row r="32" spans="1:24" x14ac:dyDescent="0.25">
      <c r="A32" s="176">
        <f>VLOOKUP($A$4,$M$69:$W$73,9,FALSE)</f>
        <v>0</v>
      </c>
      <c r="B32" s="124" t="s">
        <v>154</v>
      </c>
      <c r="C32" s="118">
        <f>IF(A32=1,IF($A$3=1,$R20,$R35),0)</f>
        <v>0</v>
      </c>
      <c r="D32" s="10"/>
      <c r="E32" s="86">
        <f t="shared" si="3"/>
        <v>0</v>
      </c>
      <c r="F32" s="86">
        <f t="shared" si="4"/>
        <v>0</v>
      </c>
      <c r="G32" s="134">
        <f>IF(A32=1,IF(A17&gt;0,IF($A$3=1,$S20,$S35),1/0),0)</f>
        <v>0</v>
      </c>
      <c r="H32" s="120" t="s">
        <v>122</v>
      </c>
      <c r="I32" s="127">
        <f>IF(AND(E14&gt;0,A3=2),I29*O6,0)</f>
        <v>0</v>
      </c>
      <c r="J32" s="10"/>
      <c r="M32" s="37" t="s">
        <v>16</v>
      </c>
      <c r="N32" s="25">
        <v>0.17</v>
      </c>
      <c r="O32" s="32">
        <f>I25/500</f>
        <v>20.062000000000001</v>
      </c>
      <c r="P32" s="19">
        <v>1</v>
      </c>
      <c r="Q32" s="20">
        <v>2</v>
      </c>
      <c r="R32" s="23">
        <f>ROUNDUP(5*C2/1000,0)</f>
        <v>50</v>
      </c>
      <c r="S32" s="41">
        <f>(N32*P32*$O$8)+(O32*Q32*$O$8)</f>
        <v>3827.9300000000003</v>
      </c>
      <c r="V32" s="6">
        <v>21</v>
      </c>
      <c r="W32" s="45" t="e">
        <f>IF($A$5=1,VLOOKUP(V32,Cartones!$A$2:$F$13,6,FALSE),IF($A$5=2,VLOOKUP(V32,Cartones!$A$14:$F$48,6,FALSE), VLOOKUP(V32,Cartones!$A$49:$F$71,6,FALSE)))</f>
        <v>#N/A</v>
      </c>
      <c r="X32" s="7" t="e">
        <f>IF($A$5=1,VLOOKUP(V32,Cartones!$A$2:$F$13,5,FALSE),IF($A$5=2,VLOOKUP(V32,Cartones!$A$14:$F$48,5,FALSE), VLOOKUP(V32,Cartones!$A$49:$F$71,5,FALSE)))</f>
        <v>#N/A</v>
      </c>
    </row>
    <row r="33" spans="1:24" x14ac:dyDescent="0.25">
      <c r="A33" s="176">
        <f>VLOOKUP($A$4,$M$69:$W$73,10,FALSE)</f>
        <v>1</v>
      </c>
      <c r="B33" s="124" t="s">
        <v>19</v>
      </c>
      <c r="C33" s="118">
        <f>IF(A33=1,IF($A$3=1,$R21,$R36),0)</f>
        <v>0</v>
      </c>
      <c r="D33" s="10"/>
      <c r="E33" s="86">
        <f t="shared" si="3"/>
        <v>0</v>
      </c>
      <c r="F33" s="86">
        <f t="shared" si="4"/>
        <v>10.031000000000001</v>
      </c>
      <c r="G33" s="134">
        <f>IF(A33=1,IF($A$3=1,$S21,$S36),0)</f>
        <v>952.94500000000005</v>
      </c>
      <c r="H33" s="120" t="s">
        <v>149</v>
      </c>
      <c r="I33" s="127">
        <f>IF(AND(E14&gt;0,A3=2),T6,0)</f>
        <v>0</v>
      </c>
      <c r="J33" s="10"/>
      <c r="M33" s="71" t="s">
        <v>17</v>
      </c>
      <c r="N33" s="72">
        <v>0.25</v>
      </c>
      <c r="O33" s="73">
        <f>I25/1000</f>
        <v>10.031000000000001</v>
      </c>
      <c r="P33" s="74">
        <v>1</v>
      </c>
      <c r="Q33" s="75">
        <v>2</v>
      </c>
      <c r="R33" s="76">
        <f>ROUNDUP(10*C2/1000,0)</f>
        <v>100</v>
      </c>
      <c r="S33" s="77">
        <f>T33</f>
        <v>1929.64</v>
      </c>
      <c r="T33" s="77">
        <f>(N33*P33*$O$8)+(O33*Q33*$O$8)</f>
        <v>1929.64</v>
      </c>
      <c r="V33" s="6">
        <v>22</v>
      </c>
      <c r="W33" s="45" t="e">
        <f>IF($A$5=1,VLOOKUP(V33,Cartones!$A$2:$F$13,6,FALSE),IF($A$5=2,VLOOKUP(V33,Cartones!$A$14:$F$48,6,FALSE), VLOOKUP(V33,Cartones!$A$49:$F$71,6,FALSE)))</f>
        <v>#N/A</v>
      </c>
      <c r="X33" s="7" t="e">
        <f>IF($A$5=1,VLOOKUP(V33,Cartones!$A$2:$F$13,5,FALSE),IF($A$5=2,VLOOKUP(V33,Cartones!$A$14:$F$48,5,FALSE), VLOOKUP(V33,Cartones!$A$49:$F$71,5,FALSE)))</f>
        <v>#N/A</v>
      </c>
    </row>
    <row r="34" spans="1:24" s="145" customFormat="1" ht="24" customHeight="1" x14ac:dyDescent="0.25">
      <c r="A34" s="179">
        <f>VLOOKUP($A$4,$M$69:$W$73,11,FALSE)</f>
        <v>1</v>
      </c>
      <c r="B34" s="137" t="s">
        <v>20</v>
      </c>
      <c r="C34" s="138">
        <f>IF(A34=1,IF($A$3=1,$R22,$R37),0)</f>
        <v>0</v>
      </c>
      <c r="D34" s="139"/>
      <c r="E34" s="140">
        <f t="shared" si="3"/>
        <v>0</v>
      </c>
      <c r="F34" s="140">
        <f t="shared" si="4"/>
        <v>10.031000000000001</v>
      </c>
      <c r="G34" s="141">
        <f>IF(A34=1,IF($A$3=1,$S22,$S37),0)</f>
        <v>952.94500000000005</v>
      </c>
      <c r="H34" s="142" t="s">
        <v>153</v>
      </c>
      <c r="I34" s="143">
        <f>IF(AND(A32=1,I13&gt;0),T8,0)</f>
        <v>0</v>
      </c>
      <c r="J34" s="144"/>
      <c r="K34" s="166"/>
      <c r="L34" s="181"/>
      <c r="M34" s="146" t="s">
        <v>18</v>
      </c>
      <c r="N34" s="147">
        <f>IF($C$2&lt;=1000,0,0)</f>
        <v>0</v>
      </c>
      <c r="O34" s="148">
        <f>I25/500</f>
        <v>20.062000000000001</v>
      </c>
      <c r="P34" s="149">
        <v>0</v>
      </c>
      <c r="Q34" s="150">
        <v>2</v>
      </c>
      <c r="R34" s="151">
        <f>ROUNDUP(20*C2/1000,0)</f>
        <v>200</v>
      </c>
      <c r="S34" s="152">
        <f>T34</f>
        <v>3811.78</v>
      </c>
      <c r="T34" s="152">
        <f>(N34*P34*$O$8)+(O34*Q34*$O$8)</f>
        <v>3811.78</v>
      </c>
      <c r="V34" s="153">
        <v>23</v>
      </c>
      <c r="W34" s="45" t="e">
        <f>IF($A$5=1,VLOOKUP(V34,Cartones!$A$2:$F$13,6,FALSE),IF($A$5=2,VLOOKUP(V34,Cartones!$A$14:$F$48,6,FALSE), VLOOKUP(V34,Cartones!$A$49:$F$71,6,FALSE)))</f>
        <v>#N/A</v>
      </c>
      <c r="X34" s="154" t="e">
        <f>IF($A$5=1,VLOOKUP(V34,Cartones!$A$2:$F$13,5,FALSE),IF($A$5=2,VLOOKUP(V34,Cartones!$A$14:$F$48,5,FALSE), VLOOKUP(V34,Cartones!$A$49:$F$71,5,FALSE)))</f>
        <v>#N/A</v>
      </c>
    </row>
    <row r="35" spans="1:24" x14ac:dyDescent="0.25">
      <c r="A35" s="180"/>
      <c r="B35" s="155"/>
      <c r="C35" s="156">
        <v>31</v>
      </c>
      <c r="D35" s="157"/>
      <c r="E35" s="158">
        <f>SUM(E25:E34)</f>
        <v>0.83000000000000007</v>
      </c>
      <c r="F35" s="159">
        <f>SUM(F25:F34)</f>
        <v>100.31000000000002</v>
      </c>
      <c r="G35" s="160">
        <f>IF(C2&gt;0,SUM(G25:G34),0)</f>
        <v>9545.6</v>
      </c>
      <c r="H35" s="161" t="s">
        <v>7</v>
      </c>
      <c r="I35" s="162" t="e">
        <f>SUM(I31:I34)</f>
        <v>#DIV/0!</v>
      </c>
      <c r="J35" s="10"/>
      <c r="M35" s="71" t="s">
        <v>154</v>
      </c>
      <c r="N35" s="109">
        <f>IF(A17=1,1.5,2)</f>
        <v>2</v>
      </c>
      <c r="O35" s="73">
        <f>IF(A17=1,C2*2.5/1000,C2*0.4/1000)</f>
        <v>4</v>
      </c>
      <c r="P35" s="74">
        <v>1</v>
      </c>
      <c r="Q35" s="75">
        <f>IF(A17=1,2,3)</f>
        <v>3</v>
      </c>
      <c r="R35" s="76">
        <f>ROUNDUP(10*C2/1000,0)</f>
        <v>100</v>
      </c>
      <c r="S35" s="77" t="e">
        <f>T35</f>
        <v>#DIV/0!</v>
      </c>
      <c r="T35" s="77" t="e">
        <f>IF(I13&gt;0,(N35*P35*$O$8)+(O35*Q35*$O$8),1/0)</f>
        <v>#DIV/0!</v>
      </c>
      <c r="V35" s="6">
        <v>24</v>
      </c>
      <c r="W35" s="45" t="e">
        <f>IF($A$5=1,VLOOKUP(V35,Cartones!$A$2:$F$13,6,FALSE),IF($A$5=2,VLOOKUP(V35,Cartones!$A$14:$F$48,6,FALSE), VLOOKUP(V35,Cartones!$A$49:$F$71,6,FALSE)))</f>
        <v>#N/A</v>
      </c>
      <c r="X35" s="7" t="e">
        <f>IF($A$5=1,VLOOKUP(V35,Cartones!$A$2:$F$13,5,FALSE),IF($A$5=2,VLOOKUP(V35,Cartones!$A$14:$F$48,5,FALSE), VLOOKUP(V35,Cartones!$A$49:$F$71,5,FALSE)))</f>
        <v>#N/A</v>
      </c>
    </row>
    <row r="36" spans="1:24" x14ac:dyDescent="0.25">
      <c r="A36" s="180"/>
      <c r="B36" s="10"/>
      <c r="C36" s="10"/>
      <c r="D36" s="10"/>
      <c r="E36" s="10"/>
      <c r="F36" s="13"/>
      <c r="G36" s="11"/>
      <c r="I36" s="107" t="str">
        <f>IF(AND(I10&lt;700,A12=1),"NO SE PUEDE PRODUCIR MENOS DE 700 M2 EN MATERIAL A LA MEDIDA","")</f>
        <v>NO SE PUEDE PRODUCIR MENOS DE 700 M2 EN MATERIAL A LA MEDIDA</v>
      </c>
      <c r="J36" s="10"/>
      <c r="M36" s="37" t="s">
        <v>19</v>
      </c>
      <c r="N36" s="110">
        <f>IF($C$2&lt;=1000,0,0)</f>
        <v>0</v>
      </c>
      <c r="O36" s="32">
        <f>I25/1000</f>
        <v>10.031000000000001</v>
      </c>
      <c r="P36" s="19">
        <v>0</v>
      </c>
      <c r="Q36" s="20">
        <v>1</v>
      </c>
      <c r="R36" s="23">
        <v>0</v>
      </c>
      <c r="S36" s="41">
        <f t="shared" ref="S36:S37" si="6">(N36*P36*$O$8)+(O36*Q36*$O$8)</f>
        <v>952.94500000000005</v>
      </c>
      <c r="V36" s="6">
        <v>25</v>
      </c>
      <c r="W36" s="45" t="e">
        <f>IF($A$5=1,VLOOKUP(V36,Cartones!$A$2:$F$13,6,FALSE),IF($A$5=2,VLOOKUP(V36,Cartones!$A$14:$F$48,6,FALSE), VLOOKUP(V36,Cartones!$A$49:$F$71,6,FALSE)))</f>
        <v>#N/A</v>
      </c>
      <c r="X36" s="7" t="e">
        <f>IF($A$5=1,VLOOKUP(V36,Cartones!$A$2:$F$13,5,FALSE),IF($A$5=2,VLOOKUP(V36,Cartones!$A$14:$F$48,5,FALSE), VLOOKUP(V36,Cartones!$A$49:$F$71,5,FALSE)))</f>
        <v>#N/A</v>
      </c>
    </row>
    <row r="37" spans="1:24" ht="15.75" thickBot="1" x14ac:dyDescent="0.3">
      <c r="A37" s="180"/>
      <c r="B37" s="326" t="s">
        <v>33</v>
      </c>
      <c r="C37" s="327"/>
      <c r="D37" s="327"/>
      <c r="E37" s="327"/>
      <c r="F37" s="327"/>
      <c r="G37" s="328"/>
      <c r="I37" s="107" t="str">
        <f>IF(G12=0,"FALTA MEDIDA DE CAJA O CARTON","")</f>
        <v>FALTA MEDIDA DE CAJA O CARTON</v>
      </c>
      <c r="J37" s="10"/>
      <c r="M37" s="38" t="s">
        <v>20</v>
      </c>
      <c r="N37" s="111">
        <f>IF($C$2&lt;=1000,0,0)</f>
        <v>0</v>
      </c>
      <c r="O37" s="39">
        <f>I25/1000</f>
        <v>10.031000000000001</v>
      </c>
      <c r="P37" s="21">
        <v>0</v>
      </c>
      <c r="Q37" s="22">
        <v>1</v>
      </c>
      <c r="R37" s="24">
        <v>0</v>
      </c>
      <c r="S37" s="36">
        <f t="shared" si="6"/>
        <v>952.94500000000005</v>
      </c>
      <c r="V37" s="6">
        <v>26</v>
      </c>
      <c r="W37" s="45" t="e">
        <f>IF($A$5=1,VLOOKUP(V37,Cartones!$A$2:$F$13,6,FALSE),IF($A$5=2,VLOOKUP(V37,Cartones!$A$14:$F$48,6,FALSE), VLOOKUP(V37,Cartones!$A$49:$F$71,6,FALSE)))</f>
        <v>#N/A</v>
      </c>
      <c r="X37" s="7" t="e">
        <f>IF($A$5=1,VLOOKUP(V37,Cartones!$A$2:$F$13,5,FALSE),IF($A$5=2,VLOOKUP(V37,Cartones!$A$14:$F$48,5,FALSE), VLOOKUP(V37,Cartones!$A$49:$F$71,5,FALSE)))</f>
        <v>#N/A</v>
      </c>
    </row>
    <row r="38" spans="1:24" ht="26.25" customHeight="1" thickBot="1" x14ac:dyDescent="0.3">
      <c r="A38" s="176">
        <v>1</v>
      </c>
      <c r="B38" s="120" t="s">
        <v>34</v>
      </c>
      <c r="C38" s="10"/>
      <c r="D38" s="10"/>
      <c r="E38" s="10"/>
      <c r="F38" s="10"/>
      <c r="G38" s="125"/>
      <c r="I38" s="107" t="str">
        <f>IF(AND(A32=1,I13&lt;=0),"INDICAR CM DE SUAJE","")</f>
        <v/>
      </c>
      <c r="J38" s="10"/>
      <c r="N38" s="34"/>
      <c r="O38" s="34"/>
      <c r="P38" s="16"/>
      <c r="Q38" s="16"/>
      <c r="R38" s="16">
        <f>SUM(R28:R37)</f>
        <v>580</v>
      </c>
      <c r="S38" s="40"/>
      <c r="V38" s="6">
        <v>27</v>
      </c>
      <c r="W38" s="45" t="e">
        <f>IF($A$5=1,VLOOKUP(V38,Cartones!$A$2:$F$13,6,FALSE),IF($A$5=2,VLOOKUP(V38,Cartones!$A$14:$F$48,6,FALSE), VLOOKUP(V38,Cartones!$A$49:$F$71,6,FALSE)))</f>
        <v>#N/A</v>
      </c>
      <c r="X38" s="7" t="e">
        <f>IF($A$5=1,VLOOKUP(V38,Cartones!$A$2:$F$13,5,FALSE),IF($A$5=2,VLOOKUP(V38,Cartones!$A$14:$F$48,5,FALSE), VLOOKUP(V38,Cartones!$A$49:$F$71,5,FALSE)))</f>
        <v>#N/A</v>
      </c>
    </row>
    <row r="39" spans="1:24" x14ac:dyDescent="0.25">
      <c r="A39" s="176">
        <v>2</v>
      </c>
      <c r="B39" s="120" t="s">
        <v>151</v>
      </c>
      <c r="C39" s="118">
        <f>VLOOKUP(A38,M62:O64,3,FALSE)</f>
        <v>6000</v>
      </c>
      <c r="D39" s="10"/>
      <c r="E39" s="118">
        <f>VLOOKUP(A39,M62:O64,3,FALSE)</f>
        <v>4000</v>
      </c>
      <c r="F39" s="118"/>
      <c r="G39" s="171">
        <f>VLOOKUP(A40,M62:O64,3,FALSE)</f>
        <v>4000</v>
      </c>
      <c r="H39" s="10"/>
      <c r="I39" s="107" t="str">
        <f>IF(AND(E14&lt;=0,A3=2),"INDICAR # DE TINTAS","")</f>
        <v/>
      </c>
      <c r="M39" s="16"/>
      <c r="N39" s="16"/>
      <c r="O39" s="16"/>
      <c r="P39" s="16"/>
      <c r="Q39" s="16"/>
      <c r="R39" s="16"/>
      <c r="S39" s="16"/>
      <c r="V39" s="6">
        <v>28</v>
      </c>
      <c r="W39" s="45" t="e">
        <f>IF($A$5=1,VLOOKUP(V39,Cartones!$A$2:$F$13,6,FALSE),IF($A$5=2,VLOOKUP(V39,Cartones!$A$14:$F$48,6,FALSE), VLOOKUP(V39,Cartones!$A$49:$F$71,6,FALSE)))</f>
        <v>#N/A</v>
      </c>
      <c r="X39" s="7" t="e">
        <f>IF($A$5=1,VLOOKUP(V39,Cartones!$A$2:$F$13,5,FALSE),IF($A$5=2,VLOOKUP(V39,Cartones!$A$14:$F$48,5,FALSE), VLOOKUP(V39,Cartones!$A$49:$F$71,5,FALSE)))</f>
        <v>#N/A</v>
      </c>
    </row>
    <row r="40" spans="1:24" x14ac:dyDescent="0.25">
      <c r="A40" s="176">
        <v>2</v>
      </c>
      <c r="B40" s="120" t="s">
        <v>37</v>
      </c>
      <c r="C40" s="167">
        <f>VLOOKUP(A38,M62:P64,4,FALSE)</f>
        <v>2500</v>
      </c>
      <c r="D40" s="10"/>
      <c r="E40" s="167">
        <f>VLOOKUP(A39,M62:P64,4,FALSE)</f>
        <v>2000</v>
      </c>
      <c r="F40" s="167"/>
      <c r="G40" s="172">
        <f>VLOOKUP(A40,M62:P64,4,FALSE)</f>
        <v>2000</v>
      </c>
      <c r="H40" s="10"/>
      <c r="I40" s="107" t="str">
        <f>IF(AND(A3=2,G21=0),"INDICAR MEDIDAS DE IMPRESIÓN","")</f>
        <v/>
      </c>
      <c r="P40" s="16"/>
      <c r="V40" s="6">
        <v>29</v>
      </c>
      <c r="W40" s="45" t="e">
        <f>IF($A$5=1,VLOOKUP(V40,Cartones!$A$2:$F$13,6,FALSE),IF($A$5=2,VLOOKUP(V40,Cartones!$A$14:$F$48,6,FALSE), VLOOKUP(V40,Cartones!$A$49:$F$71,6,FALSE)))</f>
        <v>#N/A</v>
      </c>
      <c r="X40" s="7" t="e">
        <f>IF($A$5=1,VLOOKUP(V40,Cartones!$A$2:$F$13,5,FALSE),IF($A$5=2,VLOOKUP(V40,Cartones!$A$14:$F$48,5,FALSE), VLOOKUP(V40,Cartones!$A$49:$F$71,5,FALSE)))</f>
        <v>#N/A</v>
      </c>
    </row>
    <row r="41" spans="1:24" ht="15.75" thickBot="1" x14ac:dyDescent="0.3">
      <c r="B41" s="120" t="s">
        <v>166</v>
      </c>
      <c r="C41" s="170">
        <v>3000</v>
      </c>
      <c r="D41" s="10"/>
      <c r="E41" s="170">
        <v>4000</v>
      </c>
      <c r="F41" s="10"/>
      <c r="G41" s="170">
        <v>3000</v>
      </c>
      <c r="M41" s="310" t="s">
        <v>4</v>
      </c>
      <c r="N41" s="310"/>
      <c r="O41" s="310"/>
      <c r="P41" s="16"/>
      <c r="Q41" s="310" t="s">
        <v>114</v>
      </c>
      <c r="R41" s="310"/>
      <c r="S41" s="310"/>
      <c r="T41" s="310"/>
      <c r="V41" s="6">
        <v>30</v>
      </c>
      <c r="W41" s="45" t="e">
        <f>IF($A$5=1,VLOOKUP(V41,Cartones!$A$2:$F$13,6,FALSE),IF($A$5=2,VLOOKUP(V41,Cartones!$A$14:$F$48,6,FALSE), VLOOKUP(V41,Cartones!$A$49:$F$71,6,FALSE)))</f>
        <v>#N/A</v>
      </c>
      <c r="X41" s="7" t="e">
        <f>IF($A$5=1,VLOOKUP(V41,Cartones!$A$2:$F$13,5,FALSE),IF($A$5=2,VLOOKUP(V41,Cartones!$A$14:$F$48,5,FALSE), VLOOKUP(V41,Cartones!$A$49:$F$71,5,FALSE)))</f>
        <v>#N/A</v>
      </c>
    </row>
    <row r="42" spans="1:24" x14ac:dyDescent="0.25">
      <c r="B42" s="120" t="s">
        <v>41</v>
      </c>
      <c r="C42" s="168">
        <f xml:space="preserve"> IF(C41&gt;1000, ROUNDUP(C41/C39,0),C41/C39)</f>
        <v>1</v>
      </c>
      <c r="D42" s="10"/>
      <c r="E42" s="168">
        <f>IF(E41&gt;1000, ROUNDUP(E41/E39,0),E41/E39)</f>
        <v>1</v>
      </c>
      <c r="F42" s="168"/>
      <c r="G42" s="136">
        <f>IF(G41&gt;1000, ROUNDUP(G41/G39,0),G41/G39)</f>
        <v>1</v>
      </c>
      <c r="J42" s="83"/>
      <c r="M42" s="5" t="s">
        <v>5</v>
      </c>
      <c r="N42" s="5" t="s">
        <v>2</v>
      </c>
      <c r="O42" s="5"/>
      <c r="P42" s="8"/>
      <c r="Q42" s="5" t="s">
        <v>125</v>
      </c>
      <c r="R42" s="3" t="s">
        <v>126</v>
      </c>
      <c r="S42" s="5" t="s">
        <v>115</v>
      </c>
      <c r="T42" s="5"/>
      <c r="V42" s="6">
        <v>31</v>
      </c>
      <c r="W42" s="45" t="e">
        <f>IF($A$5=1,VLOOKUP(V42,Cartones!$A$2:$F$13,6,FALSE),IF($A$5=2,VLOOKUP(V42,Cartones!$A$14:$F$48,6,FALSE), VLOOKUP(V42,Cartones!$A$49:$F$71,6,FALSE)))</f>
        <v>#N/A</v>
      </c>
      <c r="X42" s="7" t="e">
        <f>IF($A$5=1,VLOOKUP(V42,Cartones!$A$2:$F$13,5,FALSE),IF($A$5=2,VLOOKUP(V42,Cartones!$A$14:$F$48,5,FALSE), VLOOKUP(V42,Cartones!$A$49:$F$71,5,FALSE)))</f>
        <v>#N/A</v>
      </c>
    </row>
    <row r="43" spans="1:24" x14ac:dyDescent="0.25">
      <c r="A43" s="180"/>
      <c r="B43" s="120" t="s">
        <v>169</v>
      </c>
      <c r="C43" s="167">
        <f>IF(C41&gt;0,C42*C40,0)</f>
        <v>2500</v>
      </c>
      <c r="D43" s="10"/>
      <c r="E43" s="167">
        <f>IF(E41&gt;0,E42*E40,0)</f>
        <v>2000</v>
      </c>
      <c r="F43" s="10"/>
      <c r="G43" s="172">
        <f>IF(G41&gt;0,G42*G40,0)</f>
        <v>2000</v>
      </c>
      <c r="H43" s="10"/>
      <c r="J43" s="10"/>
      <c r="M43" s="6">
        <v>1</v>
      </c>
      <c r="N43" s="312" t="s">
        <v>30</v>
      </c>
      <c r="O43" s="313"/>
      <c r="P43" s="16"/>
      <c r="Q43" s="90">
        <v>1</v>
      </c>
      <c r="R43" s="91">
        <v>2000</v>
      </c>
      <c r="S43" s="196">
        <v>0.3</v>
      </c>
      <c r="T43" s="197"/>
      <c r="V43" s="6">
        <v>32</v>
      </c>
      <c r="W43" s="45" t="e">
        <f>IF($A$5=1,VLOOKUP(V43,Cartones!$A$2:$F$13,6,FALSE),IF($A$5=2,VLOOKUP(V43,Cartones!$A$14:$F$48,6,FALSE), VLOOKUP(V43,Cartones!$A$49:$F$71,6,FALSE)))</f>
        <v>#N/A</v>
      </c>
      <c r="X43" s="7" t="e">
        <f>IF($A$5=1,VLOOKUP(V43,Cartones!$A$2:$F$13,5,FALSE),IF($A$5=2,VLOOKUP(V43,Cartones!$A$14:$F$48,5,FALSE), VLOOKUP(V43,Cartones!$A$49:$F$71,5,FALSE)))</f>
        <v>#N/A</v>
      </c>
    </row>
    <row r="44" spans="1:24" x14ac:dyDescent="0.25">
      <c r="B44" s="124"/>
      <c r="C44" s="10"/>
      <c r="D44" s="10"/>
      <c r="E44" s="10"/>
      <c r="F44" s="10"/>
      <c r="G44" s="125"/>
      <c r="J44" s="10"/>
      <c r="M44" s="44">
        <v>2</v>
      </c>
      <c r="N44" s="312" t="s">
        <v>31</v>
      </c>
      <c r="O44" s="313"/>
      <c r="P44" s="16"/>
      <c r="Q44" s="92">
        <v>2000</v>
      </c>
      <c r="R44" s="91">
        <v>3000</v>
      </c>
      <c r="S44" s="196">
        <v>0.25</v>
      </c>
      <c r="T44" s="197"/>
      <c r="V44" s="6">
        <v>33</v>
      </c>
      <c r="W44" s="45" t="e">
        <f>IF($A$5=1,VLOOKUP(V44,Cartones!$A$2:$F$13,6,FALSE),IF($A$5=2,VLOOKUP(V44,Cartones!$A$14:$F$48,6,FALSE), VLOOKUP(V44,Cartones!$A$49:$F$71,6,FALSE)))</f>
        <v>#N/A</v>
      </c>
      <c r="X44" s="7" t="e">
        <f>IF($A$5=1,VLOOKUP(V44,Cartones!$A$2:$F$13,5,FALSE),IF($A$5=2,VLOOKUP(V44,Cartones!$A$14:$F$48,5,FALSE), VLOOKUP(V44,Cartones!$A$49:$F$71,5,FALSE)))</f>
        <v>#N/A</v>
      </c>
    </row>
    <row r="45" spans="1:24" x14ac:dyDescent="0.25">
      <c r="B45" s="120" t="s">
        <v>167</v>
      </c>
      <c r="C45" s="169">
        <f>SUM(C41,E41,G41)</f>
        <v>10000</v>
      </c>
      <c r="D45" s="10"/>
      <c r="E45" s="10"/>
      <c r="F45" s="10"/>
      <c r="G45" s="125"/>
      <c r="J45" s="10"/>
      <c r="P45" s="16"/>
      <c r="Q45" s="90">
        <v>3000</v>
      </c>
      <c r="R45" s="91">
        <v>5000</v>
      </c>
      <c r="S45" s="196">
        <v>0.2</v>
      </c>
      <c r="T45" s="197"/>
      <c r="V45" s="6">
        <v>34</v>
      </c>
      <c r="W45" s="45" t="e">
        <f>IF($A$5=1,VLOOKUP(V45,Cartones!$A$2:$F$13,6,FALSE),IF($A$5=2,VLOOKUP(V45,Cartones!$A$14:$F$48,6,FALSE), VLOOKUP(V45,Cartones!$A$49:$F$71,6,FALSE)))</f>
        <v>#N/A</v>
      </c>
      <c r="X45" s="7" t="e">
        <f>IF($A$5=1,VLOOKUP(V45,Cartones!$A$2:$F$13,5,FALSE),IF($A$5=2,VLOOKUP(V45,Cartones!$A$14:$F$48,5,FALSE), VLOOKUP(V45,Cartones!$A$49:$F$71,5,FALSE)))</f>
        <v>#N/A</v>
      </c>
    </row>
    <row r="46" spans="1:24" x14ac:dyDescent="0.25">
      <c r="B46" s="128" t="s">
        <v>168</v>
      </c>
      <c r="C46" s="173">
        <f>C2-C45</f>
        <v>0</v>
      </c>
      <c r="D46" s="135"/>
      <c r="E46" s="135"/>
      <c r="F46" s="161" t="s">
        <v>42</v>
      </c>
      <c r="G46" s="174">
        <f>C43+E43+G43</f>
        <v>6500</v>
      </c>
      <c r="J46" s="10"/>
      <c r="P46" s="16"/>
      <c r="Q46" s="90">
        <v>5000</v>
      </c>
      <c r="R46" s="91">
        <v>8000</v>
      </c>
      <c r="S46" s="196">
        <v>0.18</v>
      </c>
      <c r="T46" s="197"/>
      <c r="V46" s="6">
        <v>35</v>
      </c>
      <c r="W46" s="45" t="e">
        <f>IF($A$5=1,VLOOKUP(V46,Cartones!$A$2:$F$13,6,FALSE),IF($A$5=2,VLOOKUP(V46,Cartones!$A$14:$F$48,6,FALSE), VLOOKUP(V46,Cartones!$A$49:$F$71,6,FALSE)))</f>
        <v>#N/A</v>
      </c>
      <c r="X46" s="7" t="e">
        <f>IF($A$5=1,VLOOKUP(V46,Cartones!$A$2:$F$13,5,FALSE),IF($A$5=2,VLOOKUP(V46,Cartones!$A$14:$F$48,5,FALSE), VLOOKUP(V46,Cartones!$A$49:$F$71,5,FALSE)))</f>
        <v>#N/A</v>
      </c>
    </row>
    <row r="47" spans="1:24" ht="15.75" thickBot="1" x14ac:dyDescent="0.3">
      <c r="A47" s="180"/>
      <c r="B47" s="10"/>
      <c r="C47" s="14"/>
      <c r="D47" s="10"/>
      <c r="E47" s="11"/>
      <c r="F47" s="10"/>
      <c r="G47" s="12"/>
      <c r="J47" s="10"/>
      <c r="M47" s="310" t="s">
        <v>103</v>
      </c>
      <c r="N47" s="310"/>
      <c r="O47" s="310"/>
      <c r="Q47" s="90">
        <v>8000</v>
      </c>
      <c r="R47" s="91">
        <v>10000</v>
      </c>
      <c r="S47" s="196">
        <v>0.13</v>
      </c>
      <c r="T47" s="197"/>
      <c r="V47" s="6"/>
      <c r="W47" s="45"/>
      <c r="X47" s="7"/>
    </row>
    <row r="48" spans="1:24" x14ac:dyDescent="0.25">
      <c r="M48" s="3" t="s">
        <v>5</v>
      </c>
      <c r="N48" s="3" t="s">
        <v>105</v>
      </c>
      <c r="Q48" s="90">
        <v>10000</v>
      </c>
      <c r="R48" s="91">
        <v>100000</v>
      </c>
      <c r="S48" s="196">
        <v>0.1</v>
      </c>
      <c r="T48" s="197"/>
      <c r="V48" s="6"/>
      <c r="W48" s="45"/>
      <c r="X48" s="7"/>
    </row>
    <row r="49" spans="1:24" x14ac:dyDescent="0.25">
      <c r="M49" s="6">
        <v>1</v>
      </c>
      <c r="N49" s="309" t="s">
        <v>68</v>
      </c>
      <c r="O49" s="309"/>
      <c r="Q49" s="90"/>
      <c r="R49" s="91"/>
      <c r="S49" s="196"/>
      <c r="T49" s="197"/>
      <c r="V49" s="6"/>
      <c r="W49" s="45"/>
      <c r="X49" s="7"/>
    </row>
    <row r="50" spans="1:24" x14ac:dyDescent="0.25">
      <c r="M50" s="6">
        <v>2</v>
      </c>
      <c r="N50" s="309" t="s">
        <v>55</v>
      </c>
      <c r="O50" s="309"/>
      <c r="Q50" s="90"/>
      <c r="R50" s="91"/>
      <c r="S50" s="196"/>
      <c r="T50" s="197"/>
      <c r="V50" s="6"/>
      <c r="W50" s="45"/>
      <c r="X50" s="7"/>
    </row>
    <row r="51" spans="1:24" x14ac:dyDescent="0.25">
      <c r="A51" s="180"/>
      <c r="B51" s="10"/>
      <c r="C51" s="10"/>
      <c r="D51" s="10"/>
      <c r="E51" s="10"/>
      <c r="F51" s="10"/>
      <c r="G51" s="10"/>
      <c r="H51" s="10"/>
      <c r="I51" s="10"/>
      <c r="J51" s="10"/>
      <c r="M51" s="6">
        <v>3</v>
      </c>
      <c r="N51" s="309" t="s">
        <v>84</v>
      </c>
      <c r="O51" s="309"/>
      <c r="Q51" s="90"/>
      <c r="R51" s="91"/>
      <c r="S51" s="196"/>
      <c r="T51" s="197"/>
      <c r="V51" s="6"/>
      <c r="W51" s="45"/>
      <c r="X51" s="7"/>
    </row>
    <row r="52" spans="1:24" x14ac:dyDescent="0.25">
      <c r="A52" s="180"/>
      <c r="B52" s="10"/>
      <c r="C52" s="10"/>
      <c r="D52" s="10"/>
      <c r="E52" s="10"/>
      <c r="F52" s="10"/>
      <c r="G52" s="10"/>
      <c r="H52" s="10"/>
      <c r="I52" s="10"/>
      <c r="J52" s="10"/>
      <c r="Q52" s="90"/>
      <c r="R52" s="91"/>
      <c r="S52" s="196"/>
      <c r="T52" s="197"/>
    </row>
    <row r="53" spans="1:24" x14ac:dyDescent="0.25">
      <c r="Q53" s="90"/>
      <c r="R53" s="91"/>
      <c r="S53" s="196"/>
      <c r="T53" s="197"/>
    </row>
    <row r="54" spans="1:24" ht="15.75" thickBot="1" x14ac:dyDescent="0.3">
      <c r="M54" s="310" t="s">
        <v>155</v>
      </c>
      <c r="N54" s="310"/>
      <c r="O54" s="310"/>
      <c r="Q54" s="90"/>
      <c r="R54" s="91"/>
      <c r="S54" s="196"/>
      <c r="T54" s="197"/>
    </row>
    <row r="55" spans="1:24" x14ac:dyDescent="0.25">
      <c r="M55" s="3" t="s">
        <v>5</v>
      </c>
      <c r="N55" s="3" t="s">
        <v>105</v>
      </c>
      <c r="Q55" s="90"/>
      <c r="R55" s="91"/>
      <c r="S55" s="196"/>
      <c r="T55" s="197"/>
    </row>
    <row r="56" spans="1:24" x14ac:dyDescent="0.25">
      <c r="M56" s="108">
        <v>1</v>
      </c>
      <c r="N56" s="309" t="s">
        <v>156</v>
      </c>
      <c r="O56" s="309"/>
    </row>
    <row r="57" spans="1:24" x14ac:dyDescent="0.25">
      <c r="M57" s="108">
        <v>2</v>
      </c>
      <c r="N57" s="309" t="s">
        <v>157</v>
      </c>
      <c r="O57" s="309"/>
    </row>
    <row r="60" spans="1:24" ht="15.75" thickBot="1" x14ac:dyDescent="0.3">
      <c r="M60" s="310" t="s">
        <v>6</v>
      </c>
      <c r="N60" s="310"/>
      <c r="O60" s="310"/>
      <c r="P60" s="310"/>
    </row>
    <row r="61" spans="1:24" x14ac:dyDescent="0.25">
      <c r="M61" s="15" t="s">
        <v>35</v>
      </c>
      <c r="N61" s="15" t="s">
        <v>34</v>
      </c>
      <c r="O61" s="15" t="s">
        <v>36</v>
      </c>
      <c r="P61" s="15" t="s">
        <v>37</v>
      </c>
    </row>
    <row r="62" spans="1:24" x14ac:dyDescent="0.25">
      <c r="M62" s="94">
        <v>1</v>
      </c>
      <c r="N62" s="4" t="s">
        <v>38</v>
      </c>
      <c r="O62" s="4">
        <v>6000</v>
      </c>
      <c r="P62" s="7">
        <v>2500</v>
      </c>
    </row>
    <row r="63" spans="1:24" x14ac:dyDescent="0.25">
      <c r="M63" s="94">
        <v>2</v>
      </c>
      <c r="N63" s="4" t="s">
        <v>39</v>
      </c>
      <c r="O63" s="4">
        <v>4000</v>
      </c>
      <c r="P63" s="7">
        <v>2000</v>
      </c>
    </row>
    <row r="64" spans="1:24" x14ac:dyDescent="0.25">
      <c r="M64" s="94">
        <v>3</v>
      </c>
      <c r="N64" s="4" t="s">
        <v>40</v>
      </c>
      <c r="O64" s="4">
        <v>8000</v>
      </c>
      <c r="P64" s="7">
        <v>3000</v>
      </c>
    </row>
    <row r="67" spans="13:23" ht="15.75" thickBot="1" x14ac:dyDescent="0.3">
      <c r="M67" s="308" t="s">
        <v>143</v>
      </c>
      <c r="N67" s="308"/>
      <c r="O67" s="308"/>
      <c r="P67" s="308"/>
      <c r="Q67" s="308"/>
      <c r="R67" s="308"/>
      <c r="S67" s="308"/>
      <c r="T67" s="308"/>
      <c r="U67" s="308"/>
      <c r="V67" s="308"/>
      <c r="W67" s="308"/>
    </row>
    <row r="68" spans="13:23" ht="38.25" x14ac:dyDescent="0.25">
      <c r="M68" s="15" t="s">
        <v>5</v>
      </c>
      <c r="N68" s="3" t="s">
        <v>50</v>
      </c>
      <c r="O68" s="105" t="s">
        <v>21</v>
      </c>
      <c r="P68" s="105" t="s">
        <v>22</v>
      </c>
      <c r="Q68" s="105" t="s">
        <v>15</v>
      </c>
      <c r="R68" s="105" t="s">
        <v>16</v>
      </c>
      <c r="S68" s="105" t="s">
        <v>17</v>
      </c>
      <c r="T68" s="105" t="s">
        <v>18</v>
      </c>
      <c r="U68" s="105" t="s">
        <v>136</v>
      </c>
      <c r="V68" s="105" t="s">
        <v>19</v>
      </c>
      <c r="W68" s="105" t="s">
        <v>20</v>
      </c>
    </row>
    <row r="69" spans="13:23" x14ac:dyDescent="0.25">
      <c r="M69" s="94">
        <v>1</v>
      </c>
      <c r="N69" s="102" t="str">
        <f>IF(A3=1,IF(AND(Cotizador!I10&gt;700,A8=FALSE), VLOOKUP(M69,'Tipos Productos'!A2:D6,4,FALSE),VLOOKUP(Cotizador!M69,'Tipos Productos'!A7:D11,4,FALSE)),IF(AND(Cotizador!I10&gt;700,A8=FALSE), VLOOKUP(M69,'Tipos Productos'!A15:D19,4,FALSE),VLOOKUP(Cotizador!M69,'Tipos Productos'!A20:D24,4,FALSE)))</f>
        <v>RANURADA ESTANDAR REFILADA FLEXO PEGADA</v>
      </c>
      <c r="O69" s="103">
        <f>IF(A3=1,IF(AND(Cotizador!I10&gt;700,A8=FALSE), VLOOKUP(M69,'Tipos Productos'!A2:M6,5,FALSE),VLOOKUP(Cotizador!M69,'Tipos Productos'!A7:M11,5,FALSE)),IF(AND(Cotizador!I10&gt;700,A8=FALSE), VLOOKUP(M69,'Tipos Productos'!A15:M19,5,FALSE),VLOOKUP(Cotizador!M69,'Tipos Productos'!A20:M24,5,FALSE)))</f>
        <v>1</v>
      </c>
      <c r="P69" s="104">
        <f>IF(A3=1,IF(AND(Cotizador!I10&gt;700,A8=FALSE), VLOOKUP(M69,'Tipos Productos'!A2:M6,6,FALSE),VLOOKUP(Cotizador!M69,'Tipos Productos'!A7:M11,6,FALSE)),IF(AND(Cotizador!I10&gt;700,A8=FALSE), VLOOKUP(M69,'Tipos Productos'!A15:M19,6,FALSE),VLOOKUP(Cotizador!M69,'Tipos Productos'!A20:M24,6,FALSE)))</f>
        <v>1</v>
      </c>
      <c r="Q69" s="104">
        <f>IF(A3=1,IF(Cotizador!I10&gt;700, VLOOKUP(M69,'Tipos Productos'!A2:M6,7,FALSE),VLOOKUP(Cotizador!M69,'Tipos Productos'!A7:M11,7,FALSE)),IF(Cotizador!I10&gt;700, VLOOKUP(M69,'Tipos Productos'!A15:M19,7,FALSE),VLOOKUP(Cotizador!M69,'Tipos Productos'!A20:M24,7,FALSE)))</f>
        <v>1</v>
      </c>
      <c r="R69" s="104">
        <f>IF(A3=1,IF(Cotizador!I10&gt;700, VLOOKUP(M69,'Tipos Productos'!A2:M6,8,FALSE),VLOOKUP(Cotizador!M69,'Tipos Productos'!A7:M11,8,FALSE)),IF(Cotizador!I10&gt;700, VLOOKUP(M69,'Tipos Productos'!A15:M19,8,FALSE),VLOOKUP(Cotizador!M69,'Tipos Productos'!A20:M24,8,FALSE)))</f>
        <v>0</v>
      </c>
      <c r="S69" s="104">
        <f>IF(A3=1,IF(Cotizador!I10&gt;700, VLOOKUP(M69,'Tipos Productos'!A2:M6,9,FALSE),VLOOKUP(Cotizador!M69,'Tipos Productos'!A7:M11,9,FALSE)),IF(Cotizador!I10&gt;700, VLOOKUP(M69,'Tipos Productos'!A15:M19,9,FALSE),VLOOKUP(Cotizador!M69,'Tipos Productos'!A20:M24,9,FALSE)))</f>
        <v>1</v>
      </c>
      <c r="T69" s="104">
        <f>IF(A3=1,IF(Cotizador!I10&gt;700, VLOOKUP(M69,'Tipos Productos'!A2:M6,10,FALSE),VLOOKUP(Cotizador!M69,'Tipos Productos'!A7:M11,10,FALSE)),IF(Cotizador!I10&gt;700, VLOOKUP(M69,'Tipos Productos'!A15:M19,10,FALSE),VLOOKUP(Cotizador!M69,'Tipos Productos'!A20:M24,10,FALSE)))</f>
        <v>0</v>
      </c>
      <c r="U69" s="104">
        <f>IF(A3=1,IF(Cotizador!I10&gt;700, VLOOKUP(M69,'Tipos Productos'!A2:M6,11,FALSE),VLOOKUP(Cotizador!M69,'Tipos Productos'!A7:M11,11,FALSE)),IF(Cotizador!I10&gt;700, VLOOKUP(M69,'Tipos Productos'!A15:M19,11,FALSE),VLOOKUP(Cotizador!M69,'Tipos Productos'!A20:M24,11,FALSE)))</f>
        <v>0</v>
      </c>
      <c r="V69" s="104">
        <f>IF(A3=1,IF(Cotizador!I10&gt;700, VLOOKUP(M69,'Tipos Productos'!A2:M6,12,FALSE),VLOOKUP(Cotizador!M69,'Tipos Productos'!A7:M11,12,FALSE)),IF(Cotizador!I10&gt;700, VLOOKUP(M69,'Tipos Productos'!A15:M19,12,FALSE),VLOOKUP(Cotizador!M69,'Tipos Productos'!A20:M24,12,FALSE)))</f>
        <v>1</v>
      </c>
      <c r="W69" s="104">
        <f>IF(A3=1,IF(Cotizador!I10&gt;700, VLOOKUP(M69,'Tipos Productos'!A2:M6,13,FALSE),VLOOKUP(Cotizador!M69,'Tipos Productos'!A7:M11,13,FALSE)),IF(Cotizador!I10&gt;700, VLOOKUP(M69,'Tipos Productos'!A15:M19,13,FALSE),VLOOKUP(Cotizador!M69,'Tipos Productos'!A20:M24,13,FALSE)))</f>
        <v>1</v>
      </c>
    </row>
    <row r="70" spans="13:23" x14ac:dyDescent="0.25">
      <c r="M70" s="94">
        <v>2</v>
      </c>
      <c r="N70" s="102" t="str">
        <f>IF(A3=1,IF(AND(Cotizador!I10&gt;700,A8=FALSE), VLOOKUP(M70,'Tipos Productos'!A2:D6,4,FALSE),VLOOKUP(Cotizador!M70,'Tipos Productos'!A7:D11,4,FALSE)),IF(AND(Cotizador!I10&gt;700,A8=FALSE), VLOOKUP(M70,'Tipos Productos'!A15:D19,4,FALSE),VLOOKUP(Cotizador!M70,'Tipos Productos'!A20:D24,4,FALSE)))</f>
        <v>RANURADA ESTANDAR REFILADA FLEXO GRAPADA</v>
      </c>
      <c r="O70" s="104">
        <f>IF(A3=1,IF(AND(Cotizador!I10&gt;700,A8=FALSE), VLOOKUP(M70,'Tipos Productos'!A2:M6,5,FALSE),VLOOKUP(Cotizador!M70,'Tipos Productos'!A7:M11,5,FALSE)),IF(AND(Cotizador!I10&gt;700,A8=FALSE), VLOOKUP(M70,'Tipos Productos'!A15:M19,5,FALSE),VLOOKUP(Cotizador!M70,'Tipos Productos'!A20:M24,5,FALSE)))</f>
        <v>1</v>
      </c>
      <c r="P70" s="104">
        <f>IF(A3=1,IF(AND(Cotizador!I10&gt;700,A8=FALSE), VLOOKUP(M70,'Tipos Productos'!A2:M6,6,FALSE),VLOOKUP(Cotizador!M70,'Tipos Productos'!A7:M11,6,FALSE)),IF(AND(Cotizador!I10&gt;700,A8=FALSE), VLOOKUP(M70,'Tipos Productos'!A15:M19,6,FALSE),VLOOKUP(Cotizador!M70,'Tipos Productos'!A20:M24,6,FALSE)))</f>
        <v>1</v>
      </c>
      <c r="Q70" s="104">
        <f>IF(A3=1,IF(Cotizador!I10&gt;700, VLOOKUP(M70,'Tipos Productos'!A2:M6,7,FALSE),VLOOKUP(Cotizador!M70,'Tipos Productos'!A7:M11,7,FALSE)),IF(Cotizador!I10&gt;700, VLOOKUP(M70,'Tipos Productos'!A15:M19,7,FALSE),VLOOKUP(Cotizador!M70,'Tipos Productos'!A20:M24,7,FALSE)))</f>
        <v>1</v>
      </c>
      <c r="R70" s="104">
        <f>IF(A3=1,IF(Cotizador!I10&gt;700, VLOOKUP(M70,'Tipos Productos'!A2:M6,8,FALSE),VLOOKUP(Cotizador!M70,'Tipos Productos'!A7:M11,8,FALSE)),IF(Cotizador!I10&gt;700, VLOOKUP(M70,'Tipos Productos'!A15:M19,8,FALSE),VLOOKUP(Cotizador!M70,'Tipos Productos'!A20:M24,8,FALSE)))</f>
        <v>0</v>
      </c>
      <c r="S70" s="104">
        <f>IF(A3=1,IF(Cotizador!I10&gt;700, VLOOKUP(M70,'Tipos Productos'!A2:M6,9,FALSE),VLOOKUP(Cotizador!M70,'Tipos Productos'!A7:M11,9,FALSE)),IF(Cotizador!I10&gt;700, VLOOKUP(M70,'Tipos Productos'!A15:M19,9,FALSE),VLOOKUP(Cotizador!M70,'Tipos Productos'!A20:M24,9,FALSE)))</f>
        <v>0</v>
      </c>
      <c r="T70" s="104">
        <f>IF(A3=1,IF(Cotizador!I10&gt;700, VLOOKUP(M70,'Tipos Productos'!A2:M6,10,FALSE),VLOOKUP(Cotizador!M70,'Tipos Productos'!A7:M11,10,FALSE)),IF(Cotizador!I10&gt;700, VLOOKUP(M70,'Tipos Productos'!A15:M19,10,FALSE),VLOOKUP(Cotizador!M70,'Tipos Productos'!A20:M24,10,FALSE)))</f>
        <v>1</v>
      </c>
      <c r="U70" s="104">
        <f>IF(A3=1,IF(Cotizador!I10&gt;700, VLOOKUP(M70,'Tipos Productos'!A2:M6,11,FALSE),VLOOKUP(Cotizador!M70,'Tipos Productos'!A7:M11,11,FALSE)),IF(Cotizador!I10&gt;700, VLOOKUP(M70,'Tipos Productos'!A15:M19,11,FALSE),VLOOKUP(Cotizador!M70,'Tipos Productos'!A20:M24,11,FALSE)))</f>
        <v>0</v>
      </c>
      <c r="V70" s="104">
        <f>IF(A3=1,IF(Cotizador!I10&gt;700, VLOOKUP(M70,'Tipos Productos'!A2:M6,12,FALSE),VLOOKUP(Cotizador!M70,'Tipos Productos'!A7:M11,12,FALSE)),IF(Cotizador!I10&gt;700, VLOOKUP(M70,'Tipos Productos'!A15:M19,12,FALSE),VLOOKUP(Cotizador!M70,'Tipos Productos'!A20:M24,12,FALSE)))</f>
        <v>1</v>
      </c>
      <c r="W70" s="104">
        <f>IF(A3=1,IF(Cotizador!I10&gt;700, VLOOKUP(M70,'Tipos Productos'!A2:M6,13,FALSE),VLOOKUP(Cotizador!M70,'Tipos Productos'!A7:M11,13,FALSE)),IF(Cotizador!I10&gt;700, VLOOKUP(M70,'Tipos Productos'!A15:M19,13,FALSE),VLOOKUP(Cotizador!M70,'Tipos Productos'!A20:M24,13,FALSE)))</f>
        <v>1</v>
      </c>
    </row>
    <row r="71" spans="13:23" ht="45" customHeight="1" x14ac:dyDescent="0.25">
      <c r="M71" s="94">
        <v>3</v>
      </c>
      <c r="N71" s="102" t="str">
        <f>IF(A3=1,IF(AND(Cotizador!I10&gt;700,A8=FALSE), VLOOKUP(M71,'Tipos Productos'!A2:D6,4,FALSE),VLOOKUP(Cotizador!M71,'Tipos Productos'!A7:D11,4,FALSE)),IF(AND(Cotizador!I10&gt;700,A8=FALSE), VLOOKUP(M71,'Tipos Productos'!A15:D19,4,FALSE),VLOOKUP(Cotizador!M71,'Tipos Productos'!A20:D24,4,FALSE)))</f>
        <v>RANURADA ESTANDAR REFILADA CAIMAN (MENOS DE 13 CM EN FONDO) PEGADA</v>
      </c>
      <c r="O71" s="104">
        <f>IF(A3=1,IF(AND(Cotizador!I10&gt;700,A8=FALSE), VLOOKUP(M71,'Tipos Productos'!A2:M6,5,FALSE),VLOOKUP(Cotizador!M71,'Tipos Productos'!A7:M11,5,FALSE)),IF(AND(Cotizador!I10&gt;700,A8=FALSE), VLOOKUP(M71,'Tipos Productos'!A15:M19,5,FALSE),VLOOKUP(Cotizador!M71,'Tipos Productos'!A20:M24,5,FALSE)))</f>
        <v>1</v>
      </c>
      <c r="P71" s="103">
        <f>IF(A3=1,IF(AND(Cotizador!I10&gt;700,A8=FALSE), VLOOKUP(M71,'Tipos Productos'!A2:M6,6,FALSE),VLOOKUP(Cotizador!M71,'Tipos Productos'!A7:M11,6,FALSE)),IF(AND(Cotizador!I10&gt;700,A8=FALSE), VLOOKUP(M71,'Tipos Productos'!A15:M19,6,FALSE),VLOOKUP(Cotizador!M71,'Tipos Productos'!A20:M24,6,FALSE)))</f>
        <v>1</v>
      </c>
      <c r="Q71" s="103">
        <f>IF(A3=1,IF(Cotizador!I10&gt;700, VLOOKUP(M71,'Tipos Productos'!A2:M6,7,FALSE),VLOOKUP(Cotizador!M71,'Tipos Productos'!A7:M11,7,FALSE)),IF(Cotizador!I10&gt;700, VLOOKUP(M71,'Tipos Productos'!A15:M19,7,FALSE),VLOOKUP(Cotizador!M71,'Tipos Productos'!A20:M24,7,FALSE)))</f>
        <v>0</v>
      </c>
      <c r="R71" s="103">
        <f>IF(A3=1,IF(Cotizador!I10&gt;700, VLOOKUP(M71,'Tipos Productos'!A2:M6,8,FALSE),VLOOKUP(Cotizador!M71,'Tipos Productos'!A7:M11,8,FALSE)),IF(Cotizador!I10&gt;700, VLOOKUP(M71,'Tipos Productos'!A15:M19,8,FALSE),VLOOKUP(Cotizador!M71,'Tipos Productos'!A20:M24,8,FALSE)))</f>
        <v>1</v>
      </c>
      <c r="S71" s="103">
        <f>IF(A3=1,IF(Cotizador!I10&gt;700, VLOOKUP(M71,'Tipos Productos'!A2:M6,9,FALSE),VLOOKUP(Cotizador!M71,'Tipos Productos'!A7:M11,9,FALSE)),IF(Cotizador!I10&gt;700, VLOOKUP(M71,'Tipos Productos'!A15:M19,9,FALSE),VLOOKUP(Cotizador!M71,'Tipos Productos'!A20:M24,9,FALSE)))</f>
        <v>1</v>
      </c>
      <c r="T71" s="103">
        <f>IF(A3=1,IF(Cotizador!I10&gt;700, VLOOKUP(M71,'Tipos Productos'!A2:M6,10,FALSE),VLOOKUP(Cotizador!M71,'Tipos Productos'!A7:M11,10,FALSE)),IF(Cotizador!I10&gt;700, VLOOKUP(M71,'Tipos Productos'!A15:M19,10,FALSE),VLOOKUP(Cotizador!M71,'Tipos Productos'!A20:M24,10,FALSE)))</f>
        <v>0</v>
      </c>
      <c r="U71" s="103">
        <f>IF(A3=1,IF(Cotizador!I10&gt;700, VLOOKUP(M71,'Tipos Productos'!A2:M6,11,FALSE),VLOOKUP(Cotizador!M71,'Tipos Productos'!A7:M11,11,FALSE)),IF(Cotizador!I10&gt;700, VLOOKUP(M71,'Tipos Productos'!A15:M19,11,FALSE),VLOOKUP(Cotizador!M71,'Tipos Productos'!A20:M24,11,FALSE)))</f>
        <v>0</v>
      </c>
      <c r="V71" s="103">
        <f>IF(A3=1,IF(Cotizador!I10&gt;700, VLOOKUP(M71,'Tipos Productos'!A2:M6,12,FALSE),VLOOKUP(Cotizador!M71,'Tipos Productos'!A7:M11,12,FALSE)),IF(Cotizador!I10&gt;700, VLOOKUP(M71,'Tipos Productos'!A15:M19,12,FALSE),VLOOKUP(Cotizador!M71,'Tipos Productos'!A20:M24,12,FALSE)))</f>
        <v>1</v>
      </c>
      <c r="W71" s="103">
        <f>IF(A3=1,IF(Cotizador!I10&gt;700, VLOOKUP(M71,'Tipos Productos'!A2:M6,13,FALSE),VLOOKUP(Cotizador!M71,'Tipos Productos'!A7:M11,13,FALSE)),IF(Cotizador!I10&gt;700, VLOOKUP(M71,'Tipos Productos'!A15:M19,13,FALSE),VLOOKUP(Cotizador!M71,'Tipos Productos'!A20:M24,13,FALSE)))</f>
        <v>1</v>
      </c>
    </row>
    <row r="72" spans="13:23" ht="22.5" x14ac:dyDescent="0.25">
      <c r="M72" s="94">
        <v>4</v>
      </c>
      <c r="N72" s="102" t="str">
        <f>IF(A3=1,IF(AND(Cotizador!I10&gt;700,A8=FALSE), VLOOKUP(M72,'Tipos Productos'!A2:D6,4,FALSE),VLOOKUP(Cotizador!M72,'Tipos Productos'!A7:D11,4,FALSE)),IF(AND(Cotizador!I10&gt;700,A8=FALSE), VLOOKUP(M72,'Tipos Productos'!A15:D19,4,FALSE),VLOOKUP(Cotizador!M72,'Tipos Productos'!A20:D24,4,FALSE)))</f>
        <v>RANURADA ESTANDAR REFILADA CAIMAN (MENOS DE 13 CM EN FONDO) GRAPADA</v>
      </c>
      <c r="O72" s="104">
        <f>IF(A3=1,IF(AND(Cotizador!I10&gt;700,A8=FALSE), VLOOKUP(M72,'Tipos Productos'!A2:M6,5,FALSE),VLOOKUP(Cotizador!M72,'Tipos Productos'!A7:M11,5,FALSE)),IF(AND(Cotizador!I10&gt;700,A8=FALSE), VLOOKUP(M72,'Tipos Productos'!A15:M19,5,FALSE),VLOOKUP(Cotizador!M72,'Tipos Productos'!A20:M24,5,FALSE)))</f>
        <v>1</v>
      </c>
      <c r="P72" s="104">
        <f>IF(A3=1,IF(AND(Cotizador!I10&gt;700,A8=FALSE), VLOOKUP(M72,'Tipos Productos'!A2:M6,6,FALSE),VLOOKUP(Cotizador!M72,'Tipos Productos'!A7:M11,6,FALSE)),IF(AND(Cotizador!I10&gt;700,A8=FALSE), VLOOKUP(M72,'Tipos Productos'!A15:M19,6,FALSE),VLOOKUP(Cotizador!M72,'Tipos Productos'!A20:M24,6,FALSE)))</f>
        <v>1</v>
      </c>
      <c r="Q72" s="104">
        <f>IF(A3=1,IF(Cotizador!I10&gt;700, VLOOKUP(M72,'Tipos Productos'!A2:M6,7,FALSE),VLOOKUP(Cotizador!M72,'Tipos Productos'!A7:M11,7,FALSE)),IF(Cotizador!I10&gt;700, VLOOKUP(M72,'Tipos Productos'!A15:M19,7,FALSE),VLOOKUP(Cotizador!M72,'Tipos Productos'!A20:M24,7,FALSE)))</f>
        <v>0</v>
      </c>
      <c r="R72" s="104">
        <f>IF(A3=1,IF(Cotizador!I10&gt;700, VLOOKUP(M72,'Tipos Productos'!A2:M6,8,FALSE),VLOOKUP(Cotizador!M72,'Tipos Productos'!A7:M11,8,FALSE)),IF(Cotizador!I10&gt;700, VLOOKUP(M72,'Tipos Productos'!A15:M19,8,FALSE),VLOOKUP(Cotizador!M72,'Tipos Productos'!A20:M24,8,FALSE)))</f>
        <v>1</v>
      </c>
      <c r="S72" s="104">
        <f>IF(A3=1,IF(Cotizador!I10&gt;700, VLOOKUP(M72,'Tipos Productos'!A2:M6,9,FALSE),VLOOKUP(Cotizador!M72,'Tipos Productos'!A7:M11,9,FALSE)),IF(Cotizador!I10&gt;700, VLOOKUP(M72,'Tipos Productos'!A15:M19,9,FALSE),VLOOKUP(Cotizador!M72,'Tipos Productos'!A20:M24,9,FALSE)))</f>
        <v>0</v>
      </c>
      <c r="T72" s="104">
        <f>IF(A3=1,IF(Cotizador!I10&gt;700, VLOOKUP(M72,'Tipos Productos'!A2:M6,10,FALSE),VLOOKUP(Cotizador!M72,'Tipos Productos'!A7:M11,10,FALSE)),IF(Cotizador!I10&gt;700, VLOOKUP(M72,'Tipos Productos'!A15:M19,10,FALSE),VLOOKUP(Cotizador!M72,'Tipos Productos'!A20:M24,10,FALSE)))</f>
        <v>1</v>
      </c>
      <c r="U72" s="104">
        <f>IF(A3=1,IF(Cotizador!I10&gt;700, VLOOKUP(M72,'Tipos Productos'!A2:M6,11,FALSE),VLOOKUP(Cotizador!M72,'Tipos Productos'!A7:M11,11,FALSE)),IF(Cotizador!I10&gt;700, VLOOKUP(M72,'Tipos Productos'!A15:M19,11,FALSE),VLOOKUP(Cotizador!M72,'Tipos Productos'!A20:M24,11,FALSE)))</f>
        <v>0</v>
      </c>
      <c r="V72" s="104">
        <f>IF(A3=1,IF(Cotizador!I10&gt;700, VLOOKUP(M72,'Tipos Productos'!A2:M6,12,FALSE),VLOOKUP(Cotizador!M72,'Tipos Productos'!A7:M11,12,FALSE)),IF(Cotizador!I10&gt;700, VLOOKUP(M72,'Tipos Productos'!A15:M19,12,FALSE),VLOOKUP(Cotizador!M72,'Tipos Productos'!A20:M24,12,FALSE)))</f>
        <v>1</v>
      </c>
      <c r="W72" s="104">
        <f>IF(A3=1,IF(Cotizador!I10&gt;700, VLOOKUP(M72,'Tipos Productos'!A2:M6,13,FALSE),VLOOKUP(Cotizador!M72,'Tipos Productos'!A7:M11,13,FALSE)),IF(Cotizador!I10&gt;700, VLOOKUP(M72,'Tipos Productos'!A15:M19,13,FALSE),VLOOKUP(Cotizador!M72,'Tipos Productos'!A20:M24,13,FALSE)))</f>
        <v>1</v>
      </c>
    </row>
    <row r="73" spans="13:23" ht="22.5" customHeight="1" x14ac:dyDescent="0.25">
      <c r="M73" s="94">
        <v>5</v>
      </c>
      <c r="N73" s="102" t="str">
        <f>IF(A3=1,IF(AND(Cotizador!I10&gt;700,A8=FALSE), VLOOKUP(M73,'Tipos Productos'!A2:D6,4,FALSE),VLOOKUP(Cotizador!M73,'Tipos Productos'!A7:D11,4,FALSE)),IF(AND(Cotizador!I10&gt;700,A8=FALSE), VLOOKUP(M73,'Tipos Productos'!A15:D19,4,FALSE),VLOOKUP(Cotizador!M73,'Tipos Productos'!A20:D24,4,FALSE)))</f>
        <v>AUTOARMADA REFILADA</v>
      </c>
      <c r="O73" s="104">
        <f>IF(A3=1,IF(AND(Cotizador!I10&gt;700,A8=FALSE), VLOOKUP(M73,'Tipos Productos'!A2:M6,5,FALSE),VLOOKUP(Cotizador!M73,'Tipos Productos'!A7:M11,5,FALSE)),IF(AND(Cotizador!I10&gt;700,A8=FALSE), VLOOKUP(M73,'Tipos Productos'!A15:M19,5,FALSE),VLOOKUP(Cotizador!M73,'Tipos Productos'!A20:M24,5,FALSE)))</f>
        <v>1</v>
      </c>
      <c r="P73" s="103">
        <f>IF(A3=1,IF(AND(Cotizador!I10&gt;700,A8=FALSE), VLOOKUP(M73,'Tipos Productos'!A2:M6,6,FALSE),VLOOKUP(Cotizador!M73,'Tipos Productos'!A7:M11,6,FALSE)),IF(AND(Cotizador!I10&gt;700,A8=FALSE), VLOOKUP(M73,'Tipos Productos'!A15:M19,6,FALSE),VLOOKUP(Cotizador!M73,'Tipos Productos'!A20:M24,6,FALSE)))</f>
        <v>0</v>
      </c>
      <c r="Q73" s="103">
        <f>IF(A3=1,IF(Cotizador!I10&gt;700, VLOOKUP(M73,'Tipos Productos'!A2:M6,7,FALSE),VLOOKUP(Cotizador!M73,'Tipos Productos'!A7:M11,7,FALSE)),IF(Cotizador!I10&gt;700, VLOOKUP(M73,'Tipos Productos'!A15:M19,7,FALSE),VLOOKUP(Cotizador!M73,'Tipos Productos'!A20:M24,7,FALSE)))</f>
        <v>0</v>
      </c>
      <c r="R73" s="104">
        <f>IF(A3=1,IF(Cotizador!I10&gt;700, VLOOKUP(M73,'Tipos Productos'!A2:M6,8,FALSE),VLOOKUP(Cotizador!M73,'Tipos Productos'!A7:M11,8,FALSE)),IF(Cotizador!I10&gt;700, VLOOKUP(M73,'Tipos Productos'!A15:M19,8,FALSE),VLOOKUP(Cotizador!M73,'Tipos Productos'!A20:M24,8,FALSE)))</f>
        <v>0</v>
      </c>
      <c r="S73" s="104">
        <f>IF(A3=1,IF(Cotizador!I10&gt;700, VLOOKUP(M73,'Tipos Productos'!A2:M6,9,FALSE),VLOOKUP(Cotizador!M73,'Tipos Productos'!A7:M11,9,FALSE)),IF(Cotizador!I10&gt;700, VLOOKUP(M73,'Tipos Productos'!A15:M19,9,FALSE),VLOOKUP(Cotizador!M73,'Tipos Productos'!A20:M24,9,FALSE)))</f>
        <v>0</v>
      </c>
      <c r="T73" s="104">
        <f>IF(A3=1,IF(Cotizador!I10&gt;700, VLOOKUP(M73,'Tipos Productos'!A2:M6,10,FALSE),VLOOKUP(Cotizador!M73,'Tipos Productos'!A7:M11,10,FALSE)),IF(Cotizador!I10&gt;700, VLOOKUP(M73,'Tipos Productos'!A15:M19,10,FALSE),VLOOKUP(Cotizador!M73,'Tipos Productos'!A20:M24,10,FALSE)))</f>
        <v>0</v>
      </c>
      <c r="U73" s="104">
        <f>IF(A3=1,IF(Cotizador!I10&gt;700, VLOOKUP(M73,'Tipos Productos'!A2:M6,11,FALSE),VLOOKUP(Cotizador!M73,'Tipos Productos'!A7:M11,11,FALSE)),IF(Cotizador!I10&gt;700, VLOOKUP(M73,'Tipos Productos'!A15:M19,11,FALSE),VLOOKUP(Cotizador!M73,'Tipos Productos'!A20:M24,11,FALSE)))</f>
        <v>1</v>
      </c>
      <c r="V73" s="104">
        <f>IF(A3=1,IF(Cotizador!I10&gt;700, VLOOKUP(M73,'Tipos Productos'!A2:M6,12,FALSE),VLOOKUP(Cotizador!M73,'Tipos Productos'!A7:M11,12,FALSE)),IF(Cotizador!I10&gt;700, VLOOKUP(M73,'Tipos Productos'!A15:M19,12,FALSE),VLOOKUP(Cotizador!M73,'Tipos Productos'!A20:M24,12,FALSE)))</f>
        <v>1</v>
      </c>
      <c r="W73" s="104">
        <f>IF(A3=1,IF(Cotizador!I10&gt;700, VLOOKUP(M73,'Tipos Productos'!A2:M6,13,FALSE),VLOOKUP(Cotizador!M73,'Tipos Productos'!A7:M11,13,FALSE)),IF(Cotizador!I10&gt;700, VLOOKUP(M73,'Tipos Productos'!A15:M19,13,FALSE),VLOOKUP(Cotizador!M73,'Tipos Productos'!A20:M24,13,FALSE)))</f>
        <v>1</v>
      </c>
    </row>
  </sheetData>
  <mergeCells count="30">
    <mergeCell ref="M47:O47"/>
    <mergeCell ref="E23:F23"/>
    <mergeCell ref="N11:O11"/>
    <mergeCell ref="P11:Q11"/>
    <mergeCell ref="C15:E15"/>
    <mergeCell ref="H24:I24"/>
    <mergeCell ref="V10:X10"/>
    <mergeCell ref="N24:O24"/>
    <mergeCell ref="N43:O43"/>
    <mergeCell ref="N44:O44"/>
    <mergeCell ref="C2:E2"/>
    <mergeCell ref="Q41:T41"/>
    <mergeCell ref="N25:R25"/>
    <mergeCell ref="N26:O26"/>
    <mergeCell ref="P26:Q26"/>
    <mergeCell ref="S11:S12"/>
    <mergeCell ref="S26:S27"/>
    <mergeCell ref="M41:O41"/>
    <mergeCell ref="R26:R27"/>
    <mergeCell ref="N10:R10"/>
    <mergeCell ref="R11:R12"/>
    <mergeCell ref="B37:G37"/>
    <mergeCell ref="M67:W67"/>
    <mergeCell ref="N49:O49"/>
    <mergeCell ref="N50:O50"/>
    <mergeCell ref="N51:O51"/>
    <mergeCell ref="M60:P60"/>
    <mergeCell ref="M54:O54"/>
    <mergeCell ref="N56:O56"/>
    <mergeCell ref="N57:O57"/>
  </mergeCells>
  <conditionalFormatting sqref="I26">
    <cfRule type="cellIs" dxfId="2" priority="1" operator="greaterThan">
      <formula>700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TotMermas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6</xdr:col>
                    <xdr:colOff>1038225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Drop Down 4">
              <controlPr defaultSize="0" autoLine="0" autoPict="0">
                <anchor moveWithCells="1">
                  <from>
                    <xdr:col>2</xdr:col>
                    <xdr:colOff>0</xdr:colOff>
                    <xdr:row>37</xdr:row>
                    <xdr:rowOff>66675</xdr:rowOff>
                  </from>
                  <to>
                    <xdr:col>2</xdr:col>
                    <xdr:colOff>781050</xdr:colOff>
                    <xdr:row>37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>
                <anchor moveWithCells="1">
                  <from>
                    <xdr:col>2</xdr:col>
                    <xdr:colOff>28575</xdr:colOff>
                    <xdr:row>4</xdr:row>
                    <xdr:rowOff>28575</xdr:rowOff>
                  </from>
                  <to>
                    <xdr:col>6</xdr:col>
                    <xdr:colOff>1057275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Drop Down 7">
              <controlPr defaultSize="0" autoLine="0" autoPict="0">
                <anchor moveWithCells="1">
                  <from>
                    <xdr:col>2</xdr:col>
                    <xdr:colOff>28575</xdr:colOff>
                    <xdr:row>5</xdr:row>
                    <xdr:rowOff>28575</xdr:rowOff>
                  </from>
                  <to>
                    <xdr:col>6</xdr:col>
                    <xdr:colOff>1057275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28575</xdr:rowOff>
                  </from>
                  <to>
                    <xdr:col>7</xdr:col>
                    <xdr:colOff>657225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171450</xdr:rowOff>
                  </from>
                  <to>
                    <xdr:col>7</xdr:col>
                    <xdr:colOff>847725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Limpiar">
                <anchor moveWithCells="1" sizeWithCells="1">
                  <from>
                    <xdr:col>5</xdr:col>
                    <xdr:colOff>85725</xdr:colOff>
                    <xdr:row>0</xdr:row>
                    <xdr:rowOff>171450</xdr:rowOff>
                  </from>
                  <to>
                    <xdr:col>6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Drop Down 17">
              <controlPr defaultSize="0" autoLine="0" autoPict="0" macro="[0]!TotMermas">
                <anchor moveWithCells="1">
                  <from>
                    <xdr:col>2</xdr:col>
                    <xdr:colOff>9525</xdr:colOff>
                    <xdr:row>3</xdr:row>
                    <xdr:rowOff>28575</xdr:rowOff>
                  </from>
                  <to>
                    <xdr:col>6</xdr:col>
                    <xdr:colOff>1038225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12" name="Button 375">
              <controlPr defaultSize="0" print="0" autoFill="0" autoPict="0" macro="[0]!TotMermas">
                <anchor moveWithCells="1" sizeWithCells="1">
                  <from>
                    <xdr:col>1</xdr:col>
                    <xdr:colOff>28575</xdr:colOff>
                    <xdr:row>33</xdr:row>
                    <xdr:rowOff>266700</xdr:rowOff>
                  </from>
                  <to>
                    <xdr:col>1</xdr:col>
                    <xdr:colOff>1390650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13" name="Drop Down 393">
              <controlPr defaultSize="0" autoLine="0" autoPict="0">
                <anchor moveWithCells="1">
                  <from>
                    <xdr:col>8</xdr:col>
                    <xdr:colOff>9525</xdr:colOff>
                    <xdr:row>16</xdr:row>
                    <xdr:rowOff>19050</xdr:rowOff>
                  </from>
                  <to>
                    <xdr:col>8</xdr:col>
                    <xdr:colOff>1304925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14" name="Button 420">
              <controlPr defaultSize="0" print="0" autoFill="0" autoPict="0" macro="[0]!mostrar">
                <anchor moveWithCells="1" sizeWithCells="1">
                  <from>
                    <xdr:col>8</xdr:col>
                    <xdr:colOff>981075</xdr:colOff>
                    <xdr:row>0</xdr:row>
                    <xdr:rowOff>57150</xdr:rowOff>
                  </from>
                  <to>
                    <xdr:col>8</xdr:col>
                    <xdr:colOff>1438275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15" name="Button 421">
              <controlPr defaultSize="0" print="0" autoFill="0" autoPict="0" macro="[0]!ocultar">
                <anchor moveWithCells="1" sizeWithCells="1">
                  <from>
                    <xdr:col>8</xdr:col>
                    <xdr:colOff>523875</xdr:colOff>
                    <xdr:row>0</xdr:row>
                    <xdr:rowOff>76200</xdr:rowOff>
                  </from>
                  <to>
                    <xdr:col>8</xdr:col>
                    <xdr:colOff>942975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16" name="Check Box 424">
              <controlPr defaultSize="0" autoFill="0" autoLine="0" autoPict="0">
                <anchor moveWithCells="1">
                  <from>
                    <xdr:col>1</xdr:col>
                    <xdr:colOff>1485900</xdr:colOff>
                    <xdr:row>7</xdr:row>
                    <xdr:rowOff>38100</xdr:rowOff>
                  </from>
                  <to>
                    <xdr:col>7</xdr:col>
                    <xdr:colOff>9525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17" name="Drop Down 426">
              <controlPr defaultSize="0" autoLine="0" autoPict="0">
                <anchor moveWithCells="1">
                  <from>
                    <xdr:col>4</xdr:col>
                    <xdr:colOff>0</xdr:colOff>
                    <xdr:row>37</xdr:row>
                    <xdr:rowOff>76200</xdr:rowOff>
                  </from>
                  <to>
                    <xdr:col>4</xdr:col>
                    <xdr:colOff>781050</xdr:colOff>
                    <xdr:row>37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18" name="Drop Down 427">
              <controlPr defaultSize="0" autoLine="0" autoPict="0">
                <anchor moveWithCells="1">
                  <from>
                    <xdr:col>6</xdr:col>
                    <xdr:colOff>323850</xdr:colOff>
                    <xdr:row>37</xdr:row>
                    <xdr:rowOff>28575</xdr:rowOff>
                  </from>
                  <to>
                    <xdr:col>6</xdr:col>
                    <xdr:colOff>1104900</xdr:colOff>
                    <xdr:row>37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A40"/>
  <sheetViews>
    <sheetView tabSelected="1" zoomScale="80" zoomScaleNormal="80" workbookViewId="0">
      <pane xSplit="12" ySplit="7" topLeftCell="M20" activePane="bottomRight" state="frozen"/>
      <selection pane="topRight" activeCell="M1" sqref="M1"/>
      <selection pane="bottomLeft" activeCell="A8" sqref="A8"/>
      <selection pane="bottomRight" activeCell="G19" sqref="G19"/>
    </sheetView>
  </sheetViews>
  <sheetFormatPr baseColWidth="10" defaultRowHeight="15" x14ac:dyDescent="0.25"/>
  <cols>
    <col min="1" max="1" width="12.7109375" style="302" bestFit="1" customWidth="1"/>
    <col min="2" max="2" width="30.5703125" style="1" customWidth="1"/>
    <col min="3" max="3" width="15" style="1" customWidth="1"/>
    <col min="4" max="9" width="11.42578125" style="1"/>
    <col min="10" max="10" width="17.5703125" style="1" customWidth="1"/>
    <col min="11" max="11" width="16.7109375" style="1" customWidth="1"/>
    <col min="12" max="12" width="13.85546875" style="1" customWidth="1"/>
    <col min="13" max="13" width="5.85546875" style="1" customWidth="1"/>
    <col min="14" max="15" width="0" style="1" hidden="1" customWidth="1"/>
    <col min="16" max="16" width="39.28515625" style="1" hidden="1" customWidth="1"/>
    <col min="17" max="18" width="0" style="1" hidden="1" customWidth="1"/>
    <col min="19" max="19" width="20.85546875" style="1" hidden="1" customWidth="1"/>
    <col min="20" max="20" width="24.42578125" style="1" hidden="1" customWidth="1"/>
    <col min="21" max="23" width="0" style="1" hidden="1" customWidth="1"/>
    <col min="24" max="16384" width="11.42578125" style="1"/>
  </cols>
  <sheetData>
    <row r="1" spans="1:27" ht="37.5" customHeight="1" x14ac:dyDescent="0.25">
      <c r="B1" s="337" t="s">
        <v>238</v>
      </c>
      <c r="C1" s="337"/>
      <c r="D1" s="337"/>
      <c r="E1" s="337"/>
      <c r="F1" s="337"/>
      <c r="G1" s="337"/>
      <c r="H1" s="337"/>
      <c r="I1" s="337"/>
      <c r="J1" s="337"/>
      <c r="K1" s="337"/>
      <c r="L1" s="337"/>
    </row>
    <row r="2" spans="1:27" ht="19.5" thickBot="1" x14ac:dyDescent="0.35">
      <c r="G2" s="224" t="str">
        <f>F3&amp;"x"&amp;H3</f>
        <v>0x0</v>
      </c>
      <c r="J2" s="296" t="s">
        <v>8</v>
      </c>
      <c r="K2" s="297" t="e">
        <f>K5/C3</f>
        <v>#N/A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7" ht="19.5" thickBot="1" x14ac:dyDescent="0.35">
      <c r="B3" s="2" t="s">
        <v>11</v>
      </c>
      <c r="C3" s="305">
        <v>0</v>
      </c>
      <c r="E3" s="2" t="s">
        <v>172</v>
      </c>
      <c r="F3" s="306">
        <v>0</v>
      </c>
      <c r="G3" s="2" t="s">
        <v>173</v>
      </c>
      <c r="H3" s="306">
        <v>0</v>
      </c>
      <c r="J3" s="186" t="s">
        <v>116</v>
      </c>
      <c r="K3" s="298">
        <f>K10+K13+K16+K19+K22+K25+K28+K31+K34</f>
        <v>0</v>
      </c>
      <c r="N3" s="220"/>
      <c r="O3" s="11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7" x14ac:dyDescent="0.25">
      <c r="A4" s="303" t="e">
        <f>VLOOKUP(C3,O8:Q13,3)</f>
        <v>#N/A</v>
      </c>
      <c r="J4" s="186" t="e">
        <f>"Margen ("&amp;A4*100&amp;"%)"</f>
        <v>#N/A</v>
      </c>
      <c r="K4" s="298" t="e">
        <f>K3*A4</f>
        <v>#N/A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7" x14ac:dyDescent="0.25">
      <c r="B5" s="2"/>
      <c r="C5" s="295"/>
      <c r="J5" s="299" t="s">
        <v>241</v>
      </c>
      <c r="K5" s="301" t="e">
        <f>K4+K3</f>
        <v>#N/A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7" ht="19.5" customHeight="1" thickBot="1" x14ac:dyDescent="0.3">
      <c r="B6" s="336" t="s">
        <v>142</v>
      </c>
      <c r="C6" s="336"/>
      <c r="D6" s="336"/>
      <c r="E6" s="336"/>
      <c r="F6" s="336"/>
      <c r="G6" s="336"/>
      <c r="H6" s="336"/>
      <c r="I6" s="336"/>
      <c r="J6" s="336"/>
      <c r="K6" s="336"/>
      <c r="L6" s="336"/>
      <c r="O6" s="338" t="s">
        <v>114</v>
      </c>
      <c r="P6" s="338"/>
      <c r="Q6" s="338"/>
      <c r="R6" s="10"/>
      <c r="S6" s="10"/>
      <c r="T6" s="10"/>
      <c r="U6" s="10"/>
      <c r="V6" s="10"/>
      <c r="W6" s="10"/>
      <c r="X6" s="10"/>
      <c r="Y6" s="10"/>
      <c r="Z6" s="10"/>
      <c r="AA6" s="10"/>
    </row>
    <row r="7" spans="1:27" ht="22.5" customHeight="1" thickTop="1" x14ac:dyDescent="0.25">
      <c r="A7" s="302">
        <v>0</v>
      </c>
      <c r="B7" s="225"/>
      <c r="C7" s="225"/>
      <c r="D7" s="225"/>
      <c r="E7" s="226"/>
      <c r="F7" s="225"/>
      <c r="G7" s="226"/>
      <c r="H7" s="226"/>
      <c r="I7" s="225"/>
      <c r="J7" s="225"/>
      <c r="K7" s="225"/>
      <c r="L7" s="225"/>
      <c r="O7" s="188" t="s">
        <v>125</v>
      </c>
      <c r="P7" s="1" t="s">
        <v>126</v>
      </c>
      <c r="Q7" s="188" t="s">
        <v>115</v>
      </c>
      <c r="R7" s="333"/>
      <c r="S7" s="333"/>
      <c r="T7" s="333"/>
      <c r="U7" s="333"/>
      <c r="V7" s="333"/>
      <c r="W7" s="333"/>
      <c r="X7" s="333"/>
      <c r="Y7" s="333"/>
      <c r="Z7" s="10"/>
      <c r="AA7" s="10"/>
    </row>
    <row r="8" spans="1:27" ht="18.75" customHeight="1" x14ac:dyDescent="0.25">
      <c r="B8" s="199"/>
      <c r="D8" s="334" t="s">
        <v>233</v>
      </c>
      <c r="E8" s="334"/>
      <c r="F8" s="335" t="s">
        <v>234</v>
      </c>
      <c r="G8" s="334"/>
      <c r="H8" s="290"/>
      <c r="O8" s="189">
        <v>1</v>
      </c>
      <c r="P8" s="190">
        <v>2000</v>
      </c>
      <c r="Q8" s="192">
        <v>0.3</v>
      </c>
      <c r="R8" s="42"/>
      <c r="S8" s="42"/>
      <c r="T8" s="42"/>
      <c r="U8" s="42"/>
      <c r="V8" s="42"/>
      <c r="W8" s="42"/>
      <c r="X8" s="42"/>
      <c r="Y8" s="42"/>
      <c r="Z8" s="42"/>
      <c r="AA8" s="10"/>
    </row>
    <row r="9" spans="1:27" ht="18.75" customHeight="1" x14ac:dyDescent="0.25">
      <c r="B9" s="10"/>
      <c r="C9" s="9" t="s">
        <v>34</v>
      </c>
      <c r="D9" s="42" t="s">
        <v>172</v>
      </c>
      <c r="E9" s="42" t="s">
        <v>173</v>
      </c>
      <c r="F9" s="42" t="s">
        <v>172</v>
      </c>
      <c r="G9" s="42" t="s">
        <v>173</v>
      </c>
      <c r="H9" s="42" t="s">
        <v>9</v>
      </c>
      <c r="I9" s="9" t="s">
        <v>184</v>
      </c>
      <c r="J9" s="10" t="s">
        <v>230</v>
      </c>
      <c r="K9" s="291" t="s">
        <v>116</v>
      </c>
      <c r="L9" s="9" t="s">
        <v>237</v>
      </c>
      <c r="O9" s="191">
        <v>2000</v>
      </c>
      <c r="P9" s="190">
        <v>3000</v>
      </c>
      <c r="Q9" s="192">
        <v>0.25</v>
      </c>
      <c r="R9" s="10"/>
      <c r="S9" s="10"/>
      <c r="T9" s="10"/>
      <c r="U9" s="10"/>
      <c r="V9" s="10"/>
      <c r="W9" s="10"/>
      <c r="X9" s="10"/>
      <c r="Y9" s="10"/>
      <c r="Z9" s="10"/>
      <c r="AA9" s="10"/>
    </row>
    <row r="10" spans="1:27" ht="18.75" customHeight="1" x14ac:dyDescent="0.25">
      <c r="A10" s="302" t="b">
        <v>0</v>
      </c>
      <c r="B10" s="10"/>
      <c r="C10" s="198" t="str">
        <f>IF(A10=TRUE,'Precios de Maquilas'!I6,"--")</f>
        <v>--</v>
      </c>
      <c r="D10" s="198" t="str">
        <f>IF($A$10=TRUE,40,"-")</f>
        <v>-</v>
      </c>
      <c r="E10" s="288" t="str">
        <f>IF($A$10=TRUE,40,"-")</f>
        <v>-</v>
      </c>
      <c r="F10" s="289" t="str">
        <f>IF($A$10=TRUE,130,"-")</f>
        <v>-</v>
      </c>
      <c r="G10" s="198" t="str">
        <f>IF($A$10=TRUE,120,"-")</f>
        <v>-</v>
      </c>
      <c r="H10" s="198">
        <f>ROUNDUP(IF(A10=TRUE,'Precios de Maquilas'!K6*CotiMaquilas!C$3/1000,"0"),0)</f>
        <v>0</v>
      </c>
      <c r="I10" s="285">
        <f>IF(A10=TRUE, (F3/100)*(H3/100)*(C3+H10),0)</f>
        <v>0</v>
      </c>
      <c r="J10" s="222">
        <f>IF(AND(A10=TRUE,L10="SI"),HLOOKUP(CotiMaquilas!$A$7,'Precios de Maquilas'!$F$5:$H$21,2,FALSE),0)</f>
        <v>0</v>
      </c>
      <c r="K10" s="300">
        <f>I10*J10</f>
        <v>0</v>
      </c>
      <c r="L10" s="286" t="str">
        <f>IF(A10=TRUE, IF(AND($F$3&gt;=D10,$F$3&lt;=F10,$H$3&gt;=E10,$H$3&lt;=G10),"SI","NO"), "")</f>
        <v/>
      </c>
      <c r="O10" s="189">
        <v>3000</v>
      </c>
      <c r="P10" s="190">
        <v>5000</v>
      </c>
      <c r="Q10" s="192">
        <v>0.2</v>
      </c>
      <c r="R10" s="42"/>
      <c r="S10" s="42"/>
      <c r="T10" s="42"/>
      <c r="U10" s="42"/>
      <c r="V10" s="42"/>
      <c r="W10" s="42"/>
      <c r="X10" s="42"/>
      <c r="Y10" s="42"/>
      <c r="Z10" s="42"/>
      <c r="AA10" s="10"/>
    </row>
    <row r="11" spans="1:27" ht="18.75" customHeight="1" x14ac:dyDescent="0.25">
      <c r="B11" s="10"/>
      <c r="C11" s="42"/>
      <c r="E11" s="42"/>
      <c r="F11" s="117"/>
      <c r="G11" s="42"/>
      <c r="H11" s="42"/>
      <c r="J11" s="11"/>
      <c r="K11" s="223"/>
      <c r="O11" s="189">
        <v>5000</v>
      </c>
      <c r="P11" s="190">
        <v>8000</v>
      </c>
      <c r="Q11" s="192">
        <v>0.18</v>
      </c>
      <c r="R11" s="42"/>
      <c r="S11" s="42"/>
      <c r="T11" s="42"/>
      <c r="U11" s="42"/>
      <c r="V11" s="42"/>
      <c r="W11" s="42"/>
      <c r="X11" s="42"/>
      <c r="Y11" s="42"/>
      <c r="Z11" s="42"/>
      <c r="AA11" s="10"/>
    </row>
    <row r="12" spans="1:27" ht="18.75" customHeight="1" x14ac:dyDescent="0.25">
      <c r="A12" s="304"/>
      <c r="B12" s="219"/>
      <c r="C12" s="9" t="s">
        <v>34</v>
      </c>
      <c r="D12" s="42" t="s">
        <v>172</v>
      </c>
      <c r="E12" s="42" t="s">
        <v>173</v>
      </c>
      <c r="F12" s="42" t="s">
        <v>172</v>
      </c>
      <c r="G12" s="42" t="s">
        <v>173</v>
      </c>
      <c r="H12" s="42" t="s">
        <v>9</v>
      </c>
      <c r="I12" s="9" t="s">
        <v>23</v>
      </c>
      <c r="J12" s="10" t="s">
        <v>230</v>
      </c>
      <c r="K12" s="291" t="s">
        <v>116</v>
      </c>
      <c r="L12" s="9" t="s">
        <v>237</v>
      </c>
      <c r="O12" s="189">
        <v>8000</v>
      </c>
      <c r="P12" s="190">
        <v>10000</v>
      </c>
      <c r="Q12" s="192">
        <v>0.13</v>
      </c>
      <c r="R12" s="42"/>
      <c r="S12" s="42"/>
      <c r="T12" s="42"/>
      <c r="U12" s="42"/>
      <c r="V12" s="42"/>
      <c r="W12" s="42"/>
      <c r="X12" s="42"/>
      <c r="Y12" s="42"/>
      <c r="Z12" s="42"/>
      <c r="AA12" s="10"/>
    </row>
    <row r="13" spans="1:27" ht="18.75" customHeight="1" x14ac:dyDescent="0.25">
      <c r="A13" s="304" t="b">
        <v>0</v>
      </c>
      <c r="B13" s="219"/>
      <c r="C13" s="198" t="str">
        <f>IF(A13=TRUE,'Precios de Maquilas'!I9,"--")</f>
        <v>--</v>
      </c>
      <c r="D13" s="198" t="str">
        <f>IF($A$13=TRUE,45,"-")</f>
        <v>-</v>
      </c>
      <c r="E13" s="288" t="str">
        <f>IF($A$13=TRUE,36,"-")</f>
        <v>-</v>
      </c>
      <c r="F13" s="289" t="str">
        <f>IF($A$13=TRUE,103,"-")</f>
        <v>-</v>
      </c>
      <c r="G13" s="198" t="str">
        <f>IF($A$13=TRUE,75,"-")</f>
        <v>-</v>
      </c>
      <c r="H13" s="198" t="str">
        <f>IF(A13=TRUE,ROUNDUP('Precios de Maquilas'!K9*CotiMaquilas!C$3/1000,0),"0")</f>
        <v>0</v>
      </c>
      <c r="I13" s="222">
        <f>IF(A14=TRUE,HLOOKUP(CotiMaquilas!$A$7,'Precios de Maquilas'!$F$5:$H$21,3,FALSE),0)</f>
        <v>0</v>
      </c>
      <c r="J13" s="222">
        <f>IF(AND(A13=TRUE,L13="SI"),HLOOKUP(CotiMaquilas!$A$7,'Precios de Maquilas'!$F$5:$H$21,5,FALSE),0)</f>
        <v>0</v>
      </c>
      <c r="K13" s="300">
        <f>(((C3+H13)/1000)*J13)+I13</f>
        <v>0</v>
      </c>
      <c r="L13" s="286" t="str">
        <f>IF(A13=TRUE, IF(AND($F$3&gt;=D13,$F$3&lt;=F13,$H$3&gt;=E13,$H$3&lt;=G13),"SI","NO"), "")</f>
        <v/>
      </c>
      <c r="O13" s="189">
        <v>10000</v>
      </c>
      <c r="P13" s="190">
        <v>100000</v>
      </c>
      <c r="Q13" s="192">
        <v>0.1</v>
      </c>
      <c r="R13" s="42"/>
      <c r="S13" s="42"/>
      <c r="T13" s="42"/>
      <c r="U13" s="42"/>
      <c r="V13" s="42"/>
      <c r="W13" s="42"/>
      <c r="X13" s="42"/>
      <c r="Y13" s="42"/>
      <c r="Z13" s="42"/>
      <c r="AA13" s="10"/>
    </row>
    <row r="14" spans="1:27" ht="18.75" customHeight="1" x14ac:dyDescent="0.25">
      <c r="A14" s="304" t="b">
        <v>0</v>
      </c>
      <c r="B14" s="219"/>
      <c r="C14" s="42"/>
      <c r="E14" s="10"/>
      <c r="F14" s="10"/>
      <c r="G14" s="10"/>
      <c r="H14" s="42"/>
      <c r="J14" s="11"/>
      <c r="K14" s="292"/>
      <c r="L14" s="42"/>
      <c r="O14" s="189"/>
      <c r="P14" s="190"/>
      <c r="Q14" s="192"/>
      <c r="R14" s="42"/>
      <c r="S14" s="42"/>
      <c r="T14" s="42"/>
      <c r="U14" s="42"/>
      <c r="V14" s="42"/>
      <c r="W14" s="287"/>
      <c r="X14" s="42"/>
      <c r="Y14" s="42"/>
      <c r="Z14" s="42"/>
      <c r="AA14" s="10"/>
    </row>
    <row r="15" spans="1:27" ht="18.75" customHeight="1" x14ac:dyDescent="0.25">
      <c r="A15" s="304"/>
      <c r="B15" s="219"/>
      <c r="C15" s="9" t="s">
        <v>34</v>
      </c>
      <c r="D15" s="42" t="s">
        <v>172</v>
      </c>
      <c r="E15" s="42" t="s">
        <v>173</v>
      </c>
      <c r="F15" s="42" t="s">
        <v>172</v>
      </c>
      <c r="G15" s="42" t="s">
        <v>173</v>
      </c>
      <c r="H15" s="42" t="s">
        <v>9</v>
      </c>
      <c r="I15" s="9" t="s">
        <v>23</v>
      </c>
      <c r="J15" s="10" t="s">
        <v>230</v>
      </c>
      <c r="K15" s="291" t="s">
        <v>116</v>
      </c>
      <c r="L15" s="9" t="s">
        <v>237</v>
      </c>
      <c r="N15" s="220"/>
      <c r="O15" s="42"/>
      <c r="P15" s="10"/>
      <c r="Q15" s="42"/>
      <c r="R15" s="42"/>
      <c r="S15" s="42"/>
      <c r="T15" s="42"/>
      <c r="U15" s="42"/>
      <c r="V15" s="42"/>
      <c r="W15" s="42"/>
      <c r="X15" s="42"/>
      <c r="Y15" s="42"/>
      <c r="Z15" s="10"/>
    </row>
    <row r="16" spans="1:27" ht="18.75" customHeight="1" x14ac:dyDescent="0.25">
      <c r="A16" s="304" t="b">
        <v>0</v>
      </c>
      <c r="B16" s="219"/>
      <c r="C16" s="198" t="str">
        <f>IF(A16=TRUE,'Precios de Maquilas'!I10,"--")</f>
        <v>--</v>
      </c>
      <c r="D16" s="198" t="str">
        <f>IF($A$16=TRUE,42,"-")</f>
        <v>-</v>
      </c>
      <c r="E16" s="288" t="str">
        <f>IF($A$16=TRUE,32,"-")</f>
        <v>-</v>
      </c>
      <c r="F16" s="289" t="str">
        <f>IF($A$16=TRUE,150,"-")</f>
        <v>-</v>
      </c>
      <c r="G16" s="198" t="str">
        <f>IF($A$16=TRUE,105,"-")</f>
        <v>-</v>
      </c>
      <c r="H16" s="198" t="str">
        <f>IF(A16=TRUE,ROUNDUP('Precios de Maquilas'!K11*CotiMaquilas!C$3/1000,0),"0")</f>
        <v>0</v>
      </c>
      <c r="I16" s="222">
        <f>IF(A17=TRUE, HLOOKUP(CotiMaquilas!$A$7,'Precios de Maquilas'!$F$5:$H$21,3,FALSE),0)</f>
        <v>0</v>
      </c>
      <c r="J16" s="222">
        <f>IF(AND(A16=TRUE,L16="SI"),HLOOKUP(CotiMaquilas!$A$7,'Precios de Maquilas'!$F$5:$H$21,7,FALSE),0)</f>
        <v>0</v>
      </c>
      <c r="K16" s="300">
        <f>(((C3+H16)/1000)*J16)+I16</f>
        <v>0</v>
      </c>
      <c r="L16" s="286" t="str">
        <f>IF(A16=TRUE, IF(AND($F$3&gt;=D16,$F$3&lt;=F16,$H$3&gt;=E16,$H$3&lt;=G16),"SI","NO"), "")</f>
        <v/>
      </c>
      <c r="N16" s="220"/>
      <c r="O16" s="198">
        <v>1</v>
      </c>
      <c r="P16" s="293" t="s">
        <v>198</v>
      </c>
      <c r="Q16" s="42"/>
      <c r="R16" s="42"/>
      <c r="S16" s="42"/>
      <c r="T16" s="42"/>
      <c r="U16" s="42"/>
      <c r="V16" s="42"/>
      <c r="W16" s="42"/>
      <c r="X16" s="42"/>
      <c r="Y16" s="42"/>
      <c r="Z16" s="10"/>
    </row>
    <row r="17" spans="1:26" ht="18.75" customHeight="1" x14ac:dyDescent="0.25">
      <c r="A17" s="304" t="b">
        <v>0</v>
      </c>
      <c r="B17" s="219"/>
      <c r="C17" s="10"/>
      <c r="D17" s="10"/>
      <c r="E17" s="10"/>
      <c r="F17" s="10"/>
      <c r="G17" s="10"/>
      <c r="H17" s="10"/>
      <c r="I17" s="10"/>
      <c r="J17" s="10"/>
      <c r="N17" s="220"/>
      <c r="O17" s="198">
        <v>2</v>
      </c>
      <c r="P17" s="293" t="s">
        <v>199</v>
      </c>
      <c r="Q17" s="42"/>
      <c r="R17" s="42"/>
      <c r="S17" s="42"/>
      <c r="T17" s="42"/>
      <c r="U17" s="42"/>
      <c r="V17" s="42"/>
      <c r="W17" s="42"/>
      <c r="X17" s="42"/>
      <c r="Y17" s="42"/>
      <c r="Z17" s="10"/>
    </row>
    <row r="18" spans="1:26" ht="18.75" customHeight="1" x14ac:dyDescent="0.25">
      <c r="A18" s="304"/>
      <c r="B18" s="220"/>
      <c r="C18" s="9" t="s">
        <v>34</v>
      </c>
      <c r="D18" s="42" t="s">
        <v>239</v>
      </c>
      <c r="E18" s="42"/>
      <c r="F18" s="42" t="s">
        <v>240</v>
      </c>
      <c r="G18" s="42"/>
      <c r="H18" s="42" t="s">
        <v>9</v>
      </c>
      <c r="I18" s="9" t="s">
        <v>23</v>
      </c>
      <c r="J18" s="10" t="s">
        <v>230</v>
      </c>
      <c r="K18" s="291" t="s">
        <v>116</v>
      </c>
      <c r="L18" s="9" t="s">
        <v>237</v>
      </c>
      <c r="N18" s="220"/>
      <c r="O18" s="198">
        <v>3</v>
      </c>
      <c r="P18" s="293" t="s">
        <v>200</v>
      </c>
      <c r="Q18" s="42"/>
      <c r="R18" s="42"/>
      <c r="S18" s="42"/>
      <c r="T18" s="42"/>
      <c r="U18" s="42"/>
      <c r="V18" s="42"/>
      <c r="W18" s="42"/>
      <c r="X18" s="42"/>
      <c r="Y18" s="42"/>
      <c r="Z18" s="10"/>
    </row>
    <row r="19" spans="1:26" ht="18.75" customHeight="1" x14ac:dyDescent="0.25">
      <c r="A19" s="304" t="b">
        <v>0</v>
      </c>
      <c r="B19" s="219"/>
      <c r="C19" s="198" t="str">
        <f>IF(A19=TRUE,'Precios de Maquilas'!I14,"--")</f>
        <v>--</v>
      </c>
      <c r="D19" s="198" t="str">
        <f>IF($A$19=TRUE,15,"-")</f>
        <v>-</v>
      </c>
      <c r="E19" s="42"/>
      <c r="F19" s="198" t="str">
        <f>IF($A$19=TRUE,110,"-")</f>
        <v>-</v>
      </c>
      <c r="G19" s="42"/>
      <c r="H19" s="198" t="str">
        <f>IF(A19=TRUE,ROUNDUP('Precios de Maquilas'!K15*CotiMaquilas!C$3/1000,0),"0")</f>
        <v>0</v>
      </c>
      <c r="I19" s="222">
        <f>IF(A20=TRUE, 240,0)</f>
        <v>0</v>
      </c>
      <c r="J19" s="222">
        <f>IF(AND(A19=TRUE,L19="SI"),HLOOKUP(CotiMaquilas!$A$7,'Precios de Maquilas'!$F$5:$H$21,8+A21,FALSE),0)</f>
        <v>0</v>
      </c>
      <c r="K19" s="300">
        <f>IF(J19&gt;0,((((C3+H19)/1000)*J19)+I19),0)</f>
        <v>0</v>
      </c>
      <c r="L19" s="286" t="str">
        <f>IF(A19=TRUE, IF(AND($F$3&gt;=D19,$F$3&lt;=F19),"SI","NO"), "")</f>
        <v/>
      </c>
      <c r="N19" s="220"/>
      <c r="O19" s="42"/>
      <c r="P19" s="10"/>
      <c r="Q19" s="42"/>
      <c r="R19" s="42"/>
      <c r="S19" s="42"/>
      <c r="T19" s="42"/>
      <c r="U19" s="42"/>
      <c r="V19" s="42"/>
      <c r="W19" s="42"/>
      <c r="X19" s="42"/>
      <c r="Y19" s="42"/>
      <c r="Z19" s="10"/>
    </row>
    <row r="20" spans="1:26" ht="18.75" customHeight="1" x14ac:dyDescent="0.25">
      <c r="A20" s="302" t="b">
        <v>0</v>
      </c>
      <c r="B20" s="221"/>
      <c r="N20" s="220"/>
      <c r="O20" s="42"/>
      <c r="P20" s="10"/>
      <c r="Q20" s="42"/>
      <c r="R20" s="42"/>
      <c r="S20" s="42"/>
      <c r="T20" s="42"/>
      <c r="U20" s="42"/>
      <c r="V20" s="42"/>
      <c r="W20" s="42"/>
      <c r="X20" s="42"/>
      <c r="Y20" s="42"/>
      <c r="Z20" s="10"/>
    </row>
    <row r="21" spans="1:26" ht="18.75" customHeight="1" x14ac:dyDescent="0.25">
      <c r="A21" s="302">
        <v>0</v>
      </c>
      <c r="B21" s="185"/>
      <c r="C21" s="9" t="s">
        <v>34</v>
      </c>
      <c r="D21" s="42" t="s">
        <v>239</v>
      </c>
      <c r="E21" s="42"/>
      <c r="F21" s="42" t="s">
        <v>240</v>
      </c>
      <c r="H21" s="42" t="s">
        <v>9</v>
      </c>
      <c r="I21" s="9" t="s">
        <v>23</v>
      </c>
      <c r="J21" s="10" t="s">
        <v>230</v>
      </c>
      <c r="K21" s="291" t="s">
        <v>116</v>
      </c>
      <c r="L21" s="9" t="s">
        <v>237</v>
      </c>
      <c r="O21" s="198">
        <v>1</v>
      </c>
      <c r="P21" s="293" t="str">
        <f>IF(A$7=3,"10 cm ceja de pegue","")</f>
        <v/>
      </c>
      <c r="R21" s="187">
        <v>1</v>
      </c>
      <c r="S21" s="187" t="str">
        <f>IF(A$7=3,P21,P16)</f>
        <v>EMPALMADOS CON SINGLE (E,F,B,C),</v>
      </c>
    </row>
    <row r="22" spans="1:26" ht="18.75" customHeight="1" x14ac:dyDescent="0.25">
      <c r="A22" s="302" t="b">
        <v>0</v>
      </c>
      <c r="C22" s="198" t="str">
        <f>IF(A22=TRUE,'Precios de Maquilas'!I17,"--")</f>
        <v>--</v>
      </c>
      <c r="D22" s="198" t="str">
        <f>IF($A$22=TRUE,15,"-")</f>
        <v>-</v>
      </c>
      <c r="E22" s="42"/>
      <c r="F22" s="198" t="str">
        <f>IF($A$22=TRUE,110,"-")</f>
        <v>-</v>
      </c>
      <c r="H22" s="198" t="str">
        <f>IF(A22=TRUE,ROUNDUP('Precios de Maquilas'!K18*CotiMaquilas!C$3/1000,0),"0")</f>
        <v>0</v>
      </c>
      <c r="I22" s="222">
        <f>IF(A23=TRUE, 240,0)</f>
        <v>0</v>
      </c>
      <c r="J22" s="222">
        <f>IF(AND(A22=TRUE,L22="SI"),HLOOKUP(CotiMaquilas!$A$7,'Precios de Maquilas'!$F$5:$H$21,11+A24,FALSE),0)</f>
        <v>0</v>
      </c>
      <c r="K22" s="300">
        <f>IF(J22&gt;0,((((C3+H22)/1000)*J22)+I22),0)</f>
        <v>0</v>
      </c>
      <c r="L22" s="286" t="str">
        <f>IF(A22=TRUE, IF(AND($F$3&gt;=D22,$F$3&lt;=F22),"SI","NO"), "")</f>
        <v/>
      </c>
      <c r="O22" s="198">
        <v>2</v>
      </c>
      <c r="P22" s="294" t="str">
        <f>IF(A$7=3,"20 cm ceja de pegue","")</f>
        <v/>
      </c>
      <c r="R22" s="187">
        <v>2</v>
      </c>
      <c r="S22" s="187" t="str">
        <f>IF(A$7=3,P22,P17)</f>
        <v xml:space="preserve">MICRO E </v>
      </c>
    </row>
    <row r="23" spans="1:26" ht="18.75" customHeight="1" x14ac:dyDescent="0.25">
      <c r="A23" s="302" t="b">
        <v>0</v>
      </c>
      <c r="O23" s="198">
        <v>3</v>
      </c>
      <c r="P23" s="293" t="str">
        <f>IF(A$7=3,"30 cm ceja de pegue","")</f>
        <v/>
      </c>
      <c r="R23" s="187">
        <v>3</v>
      </c>
      <c r="S23" s="187" t="str">
        <f>IF(A$7=3,P23,P18)</f>
        <v>FLAUTA B,C,BC</v>
      </c>
    </row>
    <row r="24" spans="1:26" ht="18.75" customHeight="1" x14ac:dyDescent="0.25">
      <c r="A24" s="302">
        <v>0</v>
      </c>
      <c r="C24" s="9" t="s">
        <v>34</v>
      </c>
      <c r="D24" s="42" t="s">
        <v>239</v>
      </c>
      <c r="E24" s="42"/>
      <c r="F24" s="42" t="s">
        <v>240</v>
      </c>
      <c r="G24" s="42"/>
      <c r="H24" s="42" t="s">
        <v>9</v>
      </c>
      <c r="J24" s="10" t="s">
        <v>230</v>
      </c>
      <c r="K24" s="291" t="s">
        <v>116</v>
      </c>
      <c r="L24" s="9" t="s">
        <v>237</v>
      </c>
    </row>
    <row r="25" spans="1:26" ht="18.75" customHeight="1" x14ac:dyDescent="0.25">
      <c r="A25" s="302" t="b">
        <v>0</v>
      </c>
      <c r="B25" s="10"/>
      <c r="C25" s="198" t="str">
        <f>IF(A25=TRUE,'Precios de Maquilas'!I19,"--")</f>
        <v>--</v>
      </c>
      <c r="D25" s="198" t="str">
        <f>IF($A$25=TRUE,15,"-")</f>
        <v>-</v>
      </c>
      <c r="E25" s="42"/>
      <c r="F25" s="198" t="str">
        <f>IF($A$25=TRUE,120,"-")</f>
        <v>-</v>
      </c>
      <c r="G25" s="42"/>
      <c r="H25" s="198" t="str">
        <f>IF(A25=TRUE,ROUNDUP('Precios de Maquilas'!K21*CotiMaquilas!C$3/1000,0),"0")</f>
        <v>0</v>
      </c>
      <c r="J25" s="222">
        <f>IF(AND(A25=TRUE,L25="SI"),HLOOKUP(CotiMaquilas!$A$7,'Precios de Maquilas'!$F$5:$H$21,15,FALSE),0)</f>
        <v>0</v>
      </c>
      <c r="K25" s="300">
        <f>IF(J25&gt;0,((((C3+H25)/1000)*J25)+I25),0)</f>
        <v>0</v>
      </c>
      <c r="L25" s="286" t="str">
        <f>IF(A25=TRUE, IF(AND($F$3&gt;=D25,$F$3&lt;=F25),"SI","NO"), "")</f>
        <v/>
      </c>
      <c r="Q25" s="193"/>
      <c r="S25" s="333"/>
      <c r="T25" s="333"/>
    </row>
    <row r="26" spans="1:26" ht="18.75" customHeight="1" x14ac:dyDescent="0.25">
      <c r="Q26" s="194"/>
      <c r="S26" s="10"/>
      <c r="T26" s="10"/>
    </row>
    <row r="27" spans="1:26" ht="18.75" customHeight="1" x14ac:dyDescent="0.25">
      <c r="C27" s="9" t="s">
        <v>34</v>
      </c>
      <c r="D27" s="42" t="s">
        <v>239</v>
      </c>
      <c r="E27" s="42"/>
      <c r="F27" s="42" t="s">
        <v>240</v>
      </c>
      <c r="G27" s="42"/>
      <c r="H27" s="42" t="s">
        <v>9</v>
      </c>
      <c r="J27" s="10" t="s">
        <v>230</v>
      </c>
      <c r="K27" s="291" t="s">
        <v>116</v>
      </c>
      <c r="L27" s="9" t="s">
        <v>237</v>
      </c>
      <c r="Q27" s="195"/>
      <c r="S27" s="42"/>
      <c r="T27" s="10"/>
    </row>
    <row r="28" spans="1:26" ht="18.75" customHeight="1" x14ac:dyDescent="0.25">
      <c r="A28" s="302" t="b">
        <v>0</v>
      </c>
      <c r="C28" s="198" t="str">
        <f>IF(A28=TRUE,'Precios de Maquilas'!I21,"--")</f>
        <v>--</v>
      </c>
      <c r="D28" s="198" t="str">
        <f>IF($A$28=TRUE,15,"-")</f>
        <v>-</v>
      </c>
      <c r="E28" s="42"/>
      <c r="F28" s="198" t="str">
        <f>IF($A$28=TRUE,120,"-")</f>
        <v>-</v>
      </c>
      <c r="G28" s="42"/>
      <c r="H28" s="198" t="str">
        <f>IF(A27=TRUE,ROUNDUP('Precios de Maquilas'!K23*CotiMaquilas!C$3/1000,0),"0")</f>
        <v>0</v>
      </c>
      <c r="J28" s="222">
        <f>IF(AND(A28=TRUE,L28="SI"),HLOOKUP(CotiMaquilas!$A$7,'Precios de Maquilas'!$F$5:$H$21,17,FALSE),0)</f>
        <v>0</v>
      </c>
      <c r="K28" s="300">
        <f>IF(J28&gt;0,((((C3+H28)/1000)*J28)+I28),0)</f>
        <v>0</v>
      </c>
      <c r="L28" s="286" t="str">
        <f>IF(A28=TRUE, IF(AND($F$3&gt;=D28,$F$3&lt;=F28),"SI","NO"), "")</f>
        <v/>
      </c>
      <c r="Q28" s="195"/>
      <c r="S28" s="42"/>
      <c r="T28" s="10"/>
    </row>
    <row r="29" spans="1:26" ht="18.75" customHeight="1" x14ac:dyDescent="0.25">
      <c r="Q29" s="195"/>
      <c r="S29" s="42"/>
      <c r="T29" s="10"/>
    </row>
    <row r="30" spans="1:26" ht="18.75" customHeight="1" x14ac:dyDescent="0.25">
      <c r="C30" s="9" t="s">
        <v>34</v>
      </c>
      <c r="H30" s="42" t="s">
        <v>9</v>
      </c>
      <c r="J30" s="10" t="s">
        <v>230</v>
      </c>
      <c r="K30" s="291" t="s">
        <v>116</v>
      </c>
      <c r="Q30" s="195"/>
    </row>
    <row r="31" spans="1:26" ht="18.75" customHeight="1" x14ac:dyDescent="0.25">
      <c r="A31" s="302" t="b">
        <v>0</v>
      </c>
      <c r="C31" s="198" t="str">
        <f>IF(A31=TRUE,'Precios de Maquilas'!I12,"--")</f>
        <v>--</v>
      </c>
      <c r="H31" s="198" t="str">
        <f>IF(A31=TRUE,ROUNDUP('Precios de Maquilas'!K12*CotiMaquilas!C$3/1000,0),"0")</f>
        <v>0</v>
      </c>
      <c r="J31" s="222">
        <f>IF(A31=TRUE,HLOOKUP(CotiMaquilas!$A$7,'Precios de Maquilas'!$F$5:$H$21,8,FALSE),0)</f>
        <v>0</v>
      </c>
      <c r="K31" s="300">
        <f>IF(J31&gt;0,((((C3+H31)/1000)*J31)+I31),0)</f>
        <v>0</v>
      </c>
      <c r="Q31" s="195"/>
    </row>
    <row r="32" spans="1:26" ht="18.75" customHeight="1" x14ac:dyDescent="0.25">
      <c r="Q32" s="195"/>
    </row>
    <row r="33" spans="1:17" ht="18.75" customHeight="1" x14ac:dyDescent="0.25">
      <c r="C33" s="9" t="s">
        <v>34</v>
      </c>
      <c r="H33" s="42" t="s">
        <v>9</v>
      </c>
      <c r="J33" s="10" t="s">
        <v>230</v>
      </c>
      <c r="K33" s="291" t="s">
        <v>116</v>
      </c>
      <c r="Q33" s="195"/>
    </row>
    <row r="34" spans="1:17" x14ac:dyDescent="0.25">
      <c r="A34" s="302" t="b">
        <v>0</v>
      </c>
      <c r="C34" s="198" t="str">
        <f>IF(A34=TRUE,'Precios de Maquilas'!I20,"--")</f>
        <v>--</v>
      </c>
      <c r="H34" s="198" t="str">
        <f>IF(A34=TRUE,ROUNDUP('Precios de Maquilas'!K20*CotiMaquilas!C$3/1000,0),"0")</f>
        <v>0</v>
      </c>
      <c r="J34" s="222">
        <f>IF(A34=TRUE,HLOOKUP(CotiMaquilas!$A$7,'Precios de Maquilas'!$F$5:$H$21,16,FALSE),0)</f>
        <v>0</v>
      </c>
      <c r="K34" s="300">
        <f>IF(J34&gt;0,((((C3+H34)/1000)*J34)+I34),0)</f>
        <v>0</v>
      </c>
      <c r="N34" s="189"/>
      <c r="O34" s="190"/>
      <c r="P34" s="192"/>
      <c r="Q34" s="195"/>
    </row>
    <row r="35" spans="1:17" x14ac:dyDescent="0.25">
      <c r="N35" s="189"/>
      <c r="O35" s="190"/>
      <c r="P35" s="192"/>
      <c r="Q35" s="195"/>
    </row>
    <row r="36" spans="1:17" x14ac:dyDescent="0.25">
      <c r="N36" s="189"/>
      <c r="O36" s="190"/>
      <c r="P36" s="192"/>
      <c r="Q36" s="195"/>
    </row>
    <row r="37" spans="1:17" x14ac:dyDescent="0.25">
      <c r="N37" s="189"/>
      <c r="O37" s="190"/>
      <c r="P37" s="192"/>
      <c r="Q37" s="195"/>
    </row>
    <row r="38" spans="1:17" x14ac:dyDescent="0.25">
      <c r="N38" s="189"/>
      <c r="O38" s="190"/>
      <c r="P38" s="192"/>
      <c r="Q38" s="195"/>
    </row>
    <row r="39" spans="1:17" x14ac:dyDescent="0.25">
      <c r="N39" s="189"/>
      <c r="O39" s="190"/>
      <c r="P39" s="192"/>
      <c r="Q39" s="195"/>
    </row>
    <row r="40" spans="1:17" x14ac:dyDescent="0.25">
      <c r="Q40" s="10"/>
    </row>
  </sheetData>
  <sheetProtection selectLockedCells="1"/>
  <mergeCells count="10">
    <mergeCell ref="D8:E8"/>
    <mergeCell ref="F8:G8"/>
    <mergeCell ref="B6:L6"/>
    <mergeCell ref="B1:L1"/>
    <mergeCell ref="O6:Q6"/>
    <mergeCell ref="V7:W7"/>
    <mergeCell ref="X7:Y7"/>
    <mergeCell ref="R7:S7"/>
    <mergeCell ref="T7:U7"/>
    <mergeCell ref="S25:T25"/>
  </mergeCells>
  <conditionalFormatting sqref="L10 L13 L16 L19 L22 L25 L28">
    <cfRule type="cellIs" dxfId="1" priority="21" operator="equal">
      <formula>"NO"</formula>
    </cfRule>
    <cfRule type="cellIs" dxfId="0" priority="22" operator="equal">
      <formula>"SI"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Check Box 6">
              <controlPr defaultSize="0" autoFill="0" autoLine="0" autoPict="0">
                <anchor moveWithCells="1">
                  <from>
                    <xdr:col>1</xdr:col>
                    <xdr:colOff>238125</xdr:colOff>
                    <xdr:row>9</xdr:row>
                    <xdr:rowOff>9525</xdr:rowOff>
                  </from>
                  <to>
                    <xdr:col>1</xdr:col>
                    <xdr:colOff>1466850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Check Box 7">
              <controlPr defaultSize="0" autoFill="0" autoLine="0" autoPict="0">
                <anchor moveWithCells="1">
                  <from>
                    <xdr:col>1</xdr:col>
                    <xdr:colOff>190500</xdr:colOff>
                    <xdr:row>12</xdr:row>
                    <xdr:rowOff>28575</xdr:rowOff>
                  </from>
                  <to>
                    <xdr:col>1</xdr:col>
                    <xdr:colOff>1647825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locked="0" defaultSize="0" autoFill="0" autoLine="0" autoPict="0">
                <anchor moveWithCells="1">
                  <from>
                    <xdr:col>1</xdr:col>
                    <xdr:colOff>247650</xdr:colOff>
                    <xdr:row>6</xdr:row>
                    <xdr:rowOff>38100</xdr:rowOff>
                  </from>
                  <to>
                    <xdr:col>2</xdr:col>
                    <xdr:colOff>28575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Option Button 9">
              <controlPr locked="0" defaultSize="0" autoFill="0" autoLine="0" autoPict="0">
                <anchor moveWithCells="1">
                  <from>
                    <xdr:col>4</xdr:col>
                    <xdr:colOff>657225</xdr:colOff>
                    <xdr:row>6</xdr:row>
                    <xdr:rowOff>38100</xdr:rowOff>
                  </from>
                  <to>
                    <xdr:col>7</xdr:col>
                    <xdr:colOff>180975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Option Button 10">
              <controlPr locked="0" defaultSize="0" autoFill="0" autoLine="0" autoPict="0">
                <anchor moveWithCells="1">
                  <from>
                    <xdr:col>9</xdr:col>
                    <xdr:colOff>266700</xdr:colOff>
                    <xdr:row>6</xdr:row>
                    <xdr:rowOff>28575</xdr:rowOff>
                  </from>
                  <to>
                    <xdr:col>10</xdr:col>
                    <xdr:colOff>904875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9" name="Check Box 36">
              <controlPr defaultSize="0" autoFill="0" autoLine="0" autoPict="0">
                <anchor moveWithCells="1">
                  <from>
                    <xdr:col>1</xdr:col>
                    <xdr:colOff>266700</xdr:colOff>
                    <xdr:row>12</xdr:row>
                    <xdr:rowOff>228600</xdr:rowOff>
                  </from>
                  <to>
                    <xdr:col>1</xdr:col>
                    <xdr:colOff>1724025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0" name="Check Box 41">
              <controlPr defaultSize="0" autoFill="0" autoLine="0" autoPict="0">
                <anchor moveWithCells="1">
                  <from>
                    <xdr:col>1</xdr:col>
                    <xdr:colOff>266700</xdr:colOff>
                    <xdr:row>15</xdr:row>
                    <xdr:rowOff>228600</xdr:rowOff>
                  </from>
                  <to>
                    <xdr:col>1</xdr:col>
                    <xdr:colOff>1743075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1" name="Check Box 42">
              <controlPr defaultSize="0" autoFill="0" autoLine="0" autoPict="0">
                <anchor moveWithCells="1">
                  <from>
                    <xdr:col>1</xdr:col>
                    <xdr:colOff>190500</xdr:colOff>
                    <xdr:row>15</xdr:row>
                    <xdr:rowOff>28575</xdr:rowOff>
                  </from>
                  <to>
                    <xdr:col>1</xdr:col>
                    <xdr:colOff>1647825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2" name="Check Box 55">
              <controlPr defaultSize="0" autoFill="0" autoLine="0" autoPict="0">
                <anchor moveWithCells="1">
                  <from>
                    <xdr:col>1</xdr:col>
                    <xdr:colOff>180975</xdr:colOff>
                    <xdr:row>17</xdr:row>
                    <xdr:rowOff>190500</xdr:rowOff>
                  </from>
                  <to>
                    <xdr:col>2</xdr:col>
                    <xdr:colOff>28575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3" name="Check Box 56">
              <controlPr defaultSize="0" autoFill="0" autoLine="0" autoPict="0">
                <anchor moveWithCells="1">
                  <from>
                    <xdr:col>1</xdr:col>
                    <xdr:colOff>247650</xdr:colOff>
                    <xdr:row>18</xdr:row>
                    <xdr:rowOff>219075</xdr:rowOff>
                  </from>
                  <to>
                    <xdr:col>1</xdr:col>
                    <xdr:colOff>1714500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4" name="Drop Down 57">
              <controlPr defaultSize="0" autoLine="0" autoPict="0">
                <anchor moveWithCells="1">
                  <from>
                    <xdr:col>2</xdr:col>
                    <xdr:colOff>0</xdr:colOff>
                    <xdr:row>19</xdr:row>
                    <xdr:rowOff>0</xdr:rowOff>
                  </from>
                  <to>
                    <xdr:col>5</xdr:col>
                    <xdr:colOff>28575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15" name="Check Box 66">
              <controlPr defaultSize="0" autoFill="0" autoLine="0" autoPict="0">
                <anchor moveWithCells="1">
                  <from>
                    <xdr:col>1</xdr:col>
                    <xdr:colOff>171450</xdr:colOff>
                    <xdr:row>20</xdr:row>
                    <xdr:rowOff>219075</xdr:rowOff>
                  </from>
                  <to>
                    <xdr:col>2</xdr:col>
                    <xdr:colOff>28575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6" name="Drop Down 68">
              <controlPr defaultSize="0" autoLine="0" autoPict="0">
                <anchor moveWithCells="1">
                  <from>
                    <xdr:col>2</xdr:col>
                    <xdr:colOff>0</xdr:colOff>
                    <xdr:row>22</xdr:row>
                    <xdr:rowOff>9525</xdr:rowOff>
                  </from>
                  <to>
                    <xdr:col>5</xdr:col>
                    <xdr:colOff>28575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Check Box 74">
              <controlPr defaultSize="0" autoFill="0" autoLine="0" autoPict="0">
                <anchor moveWithCells="1">
                  <from>
                    <xdr:col>1</xdr:col>
                    <xdr:colOff>285750</xdr:colOff>
                    <xdr:row>22</xdr:row>
                    <xdr:rowOff>0</xdr:rowOff>
                  </from>
                  <to>
                    <xdr:col>1</xdr:col>
                    <xdr:colOff>1752600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18" name="Check Box 79">
              <controlPr defaultSize="0" autoFill="0" autoLine="0" autoPict="0">
                <anchor moveWithCells="1">
                  <from>
                    <xdr:col>1</xdr:col>
                    <xdr:colOff>180975</xdr:colOff>
                    <xdr:row>24</xdr:row>
                    <xdr:rowOff>9525</xdr:rowOff>
                  </from>
                  <to>
                    <xdr:col>1</xdr:col>
                    <xdr:colOff>1409700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19" name="Check Box 89">
              <controlPr defaultSize="0" autoFill="0" autoLine="0" autoPict="0">
                <anchor moveWithCells="1">
                  <from>
                    <xdr:col>1</xdr:col>
                    <xdr:colOff>180975</xdr:colOff>
                    <xdr:row>27</xdr:row>
                    <xdr:rowOff>9525</xdr:rowOff>
                  </from>
                  <to>
                    <xdr:col>1</xdr:col>
                    <xdr:colOff>1847850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20" name="Check Box 94">
              <controlPr defaultSize="0" autoFill="0" autoLine="0" autoPict="0">
                <anchor moveWithCells="1">
                  <from>
                    <xdr:col>1</xdr:col>
                    <xdr:colOff>171450</xdr:colOff>
                    <xdr:row>29</xdr:row>
                    <xdr:rowOff>228600</xdr:rowOff>
                  </from>
                  <to>
                    <xdr:col>1</xdr:col>
                    <xdr:colOff>1409700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21" name="Check Box 95">
              <controlPr defaultSize="0" autoFill="0" autoLine="0" autoPict="0">
                <anchor moveWithCells="1">
                  <from>
                    <xdr:col>1</xdr:col>
                    <xdr:colOff>171450</xdr:colOff>
                    <xdr:row>33</xdr:row>
                    <xdr:rowOff>0</xdr:rowOff>
                  </from>
                  <to>
                    <xdr:col>1</xdr:col>
                    <xdr:colOff>1409700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22" name="Button 96">
              <controlPr defaultSize="0" print="0" autoFill="0" autoPict="0" macro="[0]!Limpiar2">
                <anchor moveWithCells="1" sizeWithCells="1">
                  <from>
                    <xdr:col>2</xdr:col>
                    <xdr:colOff>28575</xdr:colOff>
                    <xdr:row>3</xdr:row>
                    <xdr:rowOff>95250</xdr:rowOff>
                  </from>
                  <to>
                    <xdr:col>3</xdr:col>
                    <xdr:colOff>523875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71"/>
  <sheetViews>
    <sheetView topLeftCell="E1" workbookViewId="0">
      <selection activeCell="F13" sqref="F13"/>
    </sheetView>
  </sheetViews>
  <sheetFormatPr baseColWidth="10" defaultRowHeight="15" x14ac:dyDescent="0.25"/>
  <cols>
    <col min="2" max="2" width="44.7109375" bestFit="1" customWidth="1"/>
    <col min="3" max="3" width="13.42578125" bestFit="1" customWidth="1"/>
    <col min="6" max="6" width="52.42578125" bestFit="1" customWidth="1"/>
  </cols>
  <sheetData>
    <row r="1" spans="1:7" x14ac:dyDescent="0.25">
      <c r="A1" s="48" t="s">
        <v>5</v>
      </c>
      <c r="B1" s="48" t="s">
        <v>50</v>
      </c>
      <c r="C1" s="49" t="s">
        <v>51</v>
      </c>
      <c r="D1" s="49" t="s">
        <v>52</v>
      </c>
      <c r="E1" s="50" t="s">
        <v>48</v>
      </c>
      <c r="F1" s="50" t="s">
        <v>106</v>
      </c>
    </row>
    <row r="2" spans="1:7" x14ac:dyDescent="0.25">
      <c r="A2" s="51">
        <v>1</v>
      </c>
      <c r="B2" s="52" t="s">
        <v>76</v>
      </c>
      <c r="C2" s="53" t="s">
        <v>77</v>
      </c>
      <c r="D2" s="54" t="s">
        <v>68</v>
      </c>
      <c r="E2" s="55">
        <v>11.53</v>
      </c>
      <c r="F2" s="55" t="str">
        <f>B2&amp;" "&amp;C2</f>
        <v>DOBLE CORRUGADO BLANCO-KRAFT FLAUTA BC 33 ECT</v>
      </c>
      <c r="G2" t="str">
        <f>"insert into TiposCartones (descripcion, especificacion, clasificacion, costo, descripcompleta) values ('"&amp;B2&amp;"','"&amp;C2&amp;"','"&amp;D2&amp;"',"&amp;E2&amp;",'"&amp;F2&amp;"');"</f>
        <v>insert into TiposCartones (descripcion, especificacion, clasificacion, costo, descripcompleta) values ('DOBLE CORRUGADO BLANCO-KRAFT FLAUTA BC','33 ECT','Doble',11.53,'DOBLE CORRUGADO BLANCO-KRAFT FLAUTA BC 33 ECT');</v>
      </c>
    </row>
    <row r="3" spans="1:7" x14ac:dyDescent="0.25">
      <c r="A3" s="51">
        <v>2</v>
      </c>
      <c r="B3" s="52" t="s">
        <v>76</v>
      </c>
      <c r="C3" s="53" t="s">
        <v>70</v>
      </c>
      <c r="D3" s="54" t="s">
        <v>68</v>
      </c>
      <c r="E3" s="55">
        <v>13.462</v>
      </c>
      <c r="F3" s="55" t="str">
        <f t="shared" ref="F3:F66" si="0">B3&amp;" "&amp;C3</f>
        <v>DOBLE CORRUGADO BLANCO-KRAFT FLAUTA BC 42 ECT</v>
      </c>
      <c r="G3" t="str">
        <f t="shared" ref="G3:G66" si="1">"insert into TiposCartones (descripcion, especificacion, clasificacion, costo, descripcompleta) values ('"&amp;B3&amp;"','"&amp;C3&amp;"','"&amp;D3&amp;"',"&amp;E3&amp;",'"&amp;F3&amp;"');"</f>
        <v>insert into TiposCartones (descripcion, especificacion, clasificacion, costo, descripcompleta) values ('DOBLE CORRUGADO BLANCO-KRAFT FLAUTA BC','42 ECT','Doble',13.462,'DOBLE CORRUGADO BLANCO-KRAFT FLAUTA BC 42 ECT');</v>
      </c>
    </row>
    <row r="4" spans="1:7" x14ac:dyDescent="0.25">
      <c r="A4" s="51">
        <v>3</v>
      </c>
      <c r="B4" s="52" t="s">
        <v>76</v>
      </c>
      <c r="C4" s="53" t="s">
        <v>72</v>
      </c>
      <c r="D4" s="54" t="s">
        <v>68</v>
      </c>
      <c r="E4" s="55">
        <v>14.574</v>
      </c>
      <c r="F4" s="55" t="str">
        <f t="shared" si="0"/>
        <v>DOBLE CORRUGADO BLANCO-KRAFT FLAUTA BC 48 ECT</v>
      </c>
      <c r="G4" t="str">
        <f t="shared" si="1"/>
        <v>insert into TiposCartones (descripcion, especificacion, clasificacion, costo, descripcompleta) values ('DOBLE CORRUGADO BLANCO-KRAFT FLAUTA BC','48 ECT','Doble',14.574,'DOBLE CORRUGADO BLANCO-KRAFT FLAUTA BC 48 ECT');</v>
      </c>
    </row>
    <row r="5" spans="1:7" x14ac:dyDescent="0.25">
      <c r="A5" s="51">
        <v>4</v>
      </c>
      <c r="B5" s="52" t="s">
        <v>67</v>
      </c>
      <c r="C5" s="56" t="s">
        <v>61</v>
      </c>
      <c r="D5" s="54" t="s">
        <v>68</v>
      </c>
      <c r="E5" s="55">
        <v>10.89</v>
      </c>
      <c r="F5" s="55" t="str">
        <f t="shared" si="0"/>
        <v xml:space="preserve">DOBLE CORRUGADO KRAFT-KRAFT FLAUTA BC 35 ECT </v>
      </c>
      <c r="G5" t="str">
        <f t="shared" si="1"/>
        <v>insert into TiposCartones (descripcion, especificacion, clasificacion, costo, descripcompleta) values ('DOBLE CORRUGADO KRAFT-KRAFT FLAUTA BC','35 ECT ','Doble',10.89,'DOBLE CORRUGADO KRAFT-KRAFT FLAUTA BC 35 ECT ');</v>
      </c>
    </row>
    <row r="6" spans="1:7" x14ac:dyDescent="0.25">
      <c r="A6" s="51">
        <v>5</v>
      </c>
      <c r="B6" s="52" t="s">
        <v>67</v>
      </c>
      <c r="C6" s="53" t="s">
        <v>62</v>
      </c>
      <c r="D6" s="54" t="s">
        <v>68</v>
      </c>
      <c r="E6" s="55">
        <v>10.419</v>
      </c>
      <c r="F6" s="55" t="str">
        <f t="shared" si="0"/>
        <v>DOBLE CORRUGADO KRAFT-KRAFT FLAUTA BC 36 ECT</v>
      </c>
      <c r="G6" t="str">
        <f t="shared" si="1"/>
        <v>insert into TiposCartones (descripcion, especificacion, clasificacion, costo, descripcompleta) values ('DOBLE CORRUGADO KRAFT-KRAFT FLAUTA BC','36 ECT','Doble',10.419,'DOBLE CORRUGADO KRAFT-KRAFT FLAUTA BC 36 ECT');</v>
      </c>
    </row>
    <row r="7" spans="1:7" x14ac:dyDescent="0.25">
      <c r="A7" s="51">
        <v>6</v>
      </c>
      <c r="B7" s="52" t="s">
        <v>67</v>
      </c>
      <c r="C7" s="53" t="s">
        <v>69</v>
      </c>
      <c r="D7" s="54" t="s">
        <v>68</v>
      </c>
      <c r="E7" s="55">
        <v>11.12</v>
      </c>
      <c r="F7" s="55" t="str">
        <f t="shared" si="0"/>
        <v>DOBLE CORRUGADO KRAFT-KRAFT FLAUTA BC 39 ECT</v>
      </c>
      <c r="G7" t="str">
        <f t="shared" si="1"/>
        <v>insert into TiposCartones (descripcion, especificacion, clasificacion, costo, descripcompleta) values ('DOBLE CORRUGADO KRAFT-KRAFT FLAUTA BC','39 ECT','Doble',11.12,'DOBLE CORRUGADO KRAFT-KRAFT FLAUTA BC 39 ECT');</v>
      </c>
    </row>
    <row r="8" spans="1:7" x14ac:dyDescent="0.25">
      <c r="A8" s="51">
        <v>7</v>
      </c>
      <c r="B8" s="52" t="s">
        <v>67</v>
      </c>
      <c r="C8" s="53" t="s">
        <v>70</v>
      </c>
      <c r="D8" s="54" t="s">
        <v>68</v>
      </c>
      <c r="E8" s="55">
        <v>12.584</v>
      </c>
      <c r="F8" s="55" t="str">
        <f t="shared" si="0"/>
        <v>DOBLE CORRUGADO KRAFT-KRAFT FLAUTA BC 42 ECT</v>
      </c>
      <c r="G8" t="str">
        <f t="shared" si="1"/>
        <v>insert into TiposCartones (descripcion, especificacion, clasificacion, costo, descripcompleta) values ('DOBLE CORRUGADO KRAFT-KRAFT FLAUTA BC','42 ECT','Doble',12.584,'DOBLE CORRUGADO KRAFT-KRAFT FLAUTA BC 42 ECT');</v>
      </c>
    </row>
    <row r="9" spans="1:7" x14ac:dyDescent="0.25">
      <c r="A9" s="51">
        <v>8</v>
      </c>
      <c r="B9" s="52" t="s">
        <v>67</v>
      </c>
      <c r="C9" s="53" t="s">
        <v>71</v>
      </c>
      <c r="D9" s="54" t="s">
        <v>68</v>
      </c>
      <c r="E9" s="55">
        <v>13.95</v>
      </c>
      <c r="F9" s="55" t="str">
        <f t="shared" si="0"/>
        <v xml:space="preserve">DOBLE CORRUGADO KRAFT-KRAFT FLAUTA BC 46 ECT </v>
      </c>
      <c r="G9" t="str">
        <f t="shared" si="1"/>
        <v>insert into TiposCartones (descripcion, especificacion, clasificacion, costo, descripcompleta) values ('DOBLE CORRUGADO KRAFT-KRAFT FLAUTA BC','46 ECT ','Doble',13.95,'DOBLE CORRUGADO KRAFT-KRAFT FLAUTA BC 46 ECT ');</v>
      </c>
    </row>
    <row r="10" spans="1:7" x14ac:dyDescent="0.25">
      <c r="A10" s="51">
        <v>9</v>
      </c>
      <c r="B10" s="52" t="s">
        <v>67</v>
      </c>
      <c r="C10" s="53" t="s">
        <v>72</v>
      </c>
      <c r="D10" s="54" t="s">
        <v>68</v>
      </c>
      <c r="E10" s="55">
        <v>14.132999999999999</v>
      </c>
      <c r="F10" s="55" t="str">
        <f t="shared" si="0"/>
        <v>DOBLE CORRUGADO KRAFT-KRAFT FLAUTA BC 48 ECT</v>
      </c>
      <c r="G10" t="str">
        <f t="shared" si="1"/>
        <v>insert into TiposCartones (descripcion, especificacion, clasificacion, costo, descripcompleta) values ('DOBLE CORRUGADO KRAFT-KRAFT FLAUTA BC','48 ECT','Doble',14.133,'DOBLE CORRUGADO KRAFT-KRAFT FLAUTA BC 48 ECT');</v>
      </c>
    </row>
    <row r="11" spans="1:7" x14ac:dyDescent="0.25">
      <c r="A11" s="51">
        <v>10</v>
      </c>
      <c r="B11" s="52" t="s">
        <v>67</v>
      </c>
      <c r="C11" s="56" t="s">
        <v>73</v>
      </c>
      <c r="D11" s="54" t="s">
        <v>68</v>
      </c>
      <c r="E11" s="55">
        <v>14.691000000000001</v>
      </c>
      <c r="F11" s="55" t="str">
        <f t="shared" si="0"/>
        <v>DOBLE CORRUGADO KRAFT-KRAFT FLAUTA BC 51 ECT</v>
      </c>
      <c r="G11" t="str">
        <f t="shared" si="1"/>
        <v>insert into TiposCartones (descripcion, especificacion, clasificacion, costo, descripcompleta) values ('DOBLE CORRUGADO KRAFT-KRAFT FLAUTA BC','51 ECT','Doble',14.691,'DOBLE CORRUGADO KRAFT-KRAFT FLAUTA BC 51 ECT');</v>
      </c>
    </row>
    <row r="12" spans="1:7" x14ac:dyDescent="0.25">
      <c r="A12" s="51">
        <v>11</v>
      </c>
      <c r="B12" s="52" t="s">
        <v>67</v>
      </c>
      <c r="C12" s="56" t="s">
        <v>74</v>
      </c>
      <c r="D12" s="54" t="s">
        <v>68</v>
      </c>
      <c r="E12" s="55">
        <v>15.9</v>
      </c>
      <c r="F12" s="55" t="str">
        <f t="shared" si="0"/>
        <v xml:space="preserve">DOBLE CORRUGADO KRAFT-KRAFT FLAUTA BC 52 ECT </v>
      </c>
      <c r="G12" t="str">
        <f t="shared" si="1"/>
        <v>insert into TiposCartones (descripcion, especificacion, clasificacion, costo, descripcompleta) values ('DOBLE CORRUGADO KRAFT-KRAFT FLAUTA BC','52 ECT ','Doble',15.9,'DOBLE CORRUGADO KRAFT-KRAFT FLAUTA BC 52 ECT ');</v>
      </c>
    </row>
    <row r="13" spans="1:7" x14ac:dyDescent="0.25">
      <c r="A13" s="51">
        <v>12</v>
      </c>
      <c r="B13" s="52" t="s">
        <v>67</v>
      </c>
      <c r="C13" s="53" t="s">
        <v>75</v>
      </c>
      <c r="D13" s="54" t="s">
        <v>68</v>
      </c>
      <c r="E13" s="55">
        <v>16.722000000000001</v>
      </c>
      <c r="F13" s="55" t="str">
        <f t="shared" si="0"/>
        <v>DOBLE CORRUGADO KRAFT-KRAFT FLAUTA BC 61 ECT</v>
      </c>
      <c r="G13" t="str">
        <f t="shared" si="1"/>
        <v>insert into TiposCartones (descripcion, especificacion, clasificacion, costo, descripcompleta) values ('DOBLE CORRUGADO KRAFT-KRAFT FLAUTA BC','61 ECT','Doble',16.722,'DOBLE CORRUGADO KRAFT-KRAFT FLAUTA BC 61 ECT');</v>
      </c>
    </row>
    <row r="14" spans="1:7" x14ac:dyDescent="0.25">
      <c r="A14" s="57">
        <v>1</v>
      </c>
      <c r="B14" s="58" t="s">
        <v>53</v>
      </c>
      <c r="C14" s="59" t="s">
        <v>54</v>
      </c>
      <c r="D14" s="60" t="s">
        <v>55</v>
      </c>
      <c r="E14" s="61">
        <v>6.11</v>
      </c>
      <c r="F14" s="61" t="str">
        <f t="shared" si="0"/>
        <v xml:space="preserve">CORRUGADO KRAFT-KRAFT FLAUTA C 20 ECT </v>
      </c>
      <c r="G14" t="str">
        <f t="shared" si="1"/>
        <v>insert into TiposCartones (descripcion, especificacion, clasificacion, costo, descripcompleta) values ('CORRUGADO KRAFT-KRAFT FLAUTA C','20 ECT ','Sencillo',6.11,'CORRUGADO KRAFT-KRAFT FLAUTA C 20 ECT ');</v>
      </c>
    </row>
    <row r="15" spans="1:7" x14ac:dyDescent="0.25">
      <c r="A15" s="57">
        <v>2</v>
      </c>
      <c r="B15" s="58" t="s">
        <v>53</v>
      </c>
      <c r="C15" s="62" t="s">
        <v>56</v>
      </c>
      <c r="D15" s="60" t="s">
        <v>55</v>
      </c>
      <c r="E15" s="61">
        <v>6.51</v>
      </c>
      <c r="F15" s="61" t="str">
        <f t="shared" si="0"/>
        <v>CORRUGADO KRAFT-KRAFT FLAUTA C 21 ECT</v>
      </c>
      <c r="G15" t="str">
        <f t="shared" si="1"/>
        <v>insert into TiposCartones (descripcion, especificacion, clasificacion, costo, descripcompleta) values ('CORRUGADO KRAFT-KRAFT FLAUTA C','21 ECT','Sencillo',6.51,'CORRUGADO KRAFT-KRAFT FLAUTA C 21 ECT');</v>
      </c>
    </row>
    <row r="16" spans="1:7" x14ac:dyDescent="0.25">
      <c r="A16" s="57">
        <v>3</v>
      </c>
      <c r="B16" s="58" t="s">
        <v>53</v>
      </c>
      <c r="C16" s="62" t="s">
        <v>57</v>
      </c>
      <c r="D16" s="60" t="s">
        <v>55</v>
      </c>
      <c r="E16" s="61">
        <v>7.96</v>
      </c>
      <c r="F16" s="61" t="str">
        <f t="shared" si="0"/>
        <v>CORRUGADO KRAFT-KRAFT FLAUTA C 23 ECT</v>
      </c>
      <c r="G16" t="str">
        <f t="shared" si="1"/>
        <v>insert into TiposCartones (descripcion, especificacion, clasificacion, costo, descripcompleta) values ('CORRUGADO KRAFT-KRAFT FLAUTA C','23 ECT','Sencillo',7.96,'CORRUGADO KRAFT-KRAFT FLAUTA C 23 ECT');</v>
      </c>
    </row>
    <row r="17" spans="1:7" x14ac:dyDescent="0.25">
      <c r="A17" s="57">
        <v>4</v>
      </c>
      <c r="B17" s="58" t="s">
        <v>53</v>
      </c>
      <c r="C17" s="62" t="s">
        <v>58</v>
      </c>
      <c r="D17" s="60" t="s">
        <v>55</v>
      </c>
      <c r="E17" s="61">
        <v>8.19</v>
      </c>
      <c r="F17" s="61" t="str">
        <f t="shared" si="0"/>
        <v>CORRUGADO KRAFT-KRAFT FLAUTA C 26 ECT</v>
      </c>
      <c r="G17" t="str">
        <f t="shared" si="1"/>
        <v>insert into TiposCartones (descripcion, especificacion, clasificacion, costo, descripcompleta) values ('CORRUGADO KRAFT-KRAFT FLAUTA C','26 ECT','Sencillo',8.19,'CORRUGADO KRAFT-KRAFT FLAUTA C 26 ECT');</v>
      </c>
    </row>
    <row r="18" spans="1:7" x14ac:dyDescent="0.25">
      <c r="A18" s="57">
        <v>5</v>
      </c>
      <c r="B18" s="58" t="s">
        <v>53</v>
      </c>
      <c r="C18" s="62" t="s">
        <v>59</v>
      </c>
      <c r="D18" s="60" t="s">
        <v>55</v>
      </c>
      <c r="E18" s="61">
        <v>9.15</v>
      </c>
      <c r="F18" s="61" t="str">
        <f t="shared" si="0"/>
        <v>CORRUGADO KRAFT-KRAFT FLAUTA C 29 ECT</v>
      </c>
      <c r="G18" t="str">
        <f t="shared" si="1"/>
        <v>insert into TiposCartones (descripcion, especificacion, clasificacion, costo, descripcompleta) values ('CORRUGADO KRAFT-KRAFT FLAUTA C','29 ECT','Sencillo',9.15,'CORRUGADO KRAFT-KRAFT FLAUTA C 29 ECT');</v>
      </c>
    </row>
    <row r="19" spans="1:7" x14ac:dyDescent="0.25">
      <c r="A19" s="57">
        <v>6</v>
      </c>
      <c r="B19" s="58" t="s">
        <v>53</v>
      </c>
      <c r="C19" s="62" t="s">
        <v>60</v>
      </c>
      <c r="D19" s="60" t="s">
        <v>55</v>
      </c>
      <c r="E19" s="61">
        <v>9.6300000000000008</v>
      </c>
      <c r="F19" s="61" t="str">
        <f t="shared" si="0"/>
        <v>CORRUGADO KRAFT-KRAFT FLAUTA C 32 ECT</v>
      </c>
      <c r="G19" t="str">
        <f t="shared" si="1"/>
        <v>insert into TiposCartones (descripcion, especificacion, clasificacion, costo, descripcompleta) values ('CORRUGADO KRAFT-KRAFT FLAUTA C','32 ECT','Sencillo',9.63,'CORRUGADO KRAFT-KRAFT FLAUTA C 32 ECT');</v>
      </c>
    </row>
    <row r="20" spans="1:7" x14ac:dyDescent="0.25">
      <c r="A20" s="57">
        <v>7</v>
      </c>
      <c r="B20" s="58" t="s">
        <v>53</v>
      </c>
      <c r="C20" s="62" t="s">
        <v>61</v>
      </c>
      <c r="D20" s="60" t="s">
        <v>55</v>
      </c>
      <c r="E20" s="61">
        <v>10.63</v>
      </c>
      <c r="F20" s="61" t="str">
        <f t="shared" si="0"/>
        <v xml:space="preserve">CORRUGADO KRAFT-KRAFT FLAUTA C 35 ECT </v>
      </c>
      <c r="G20" t="str">
        <f t="shared" si="1"/>
        <v>insert into TiposCartones (descripcion, especificacion, clasificacion, costo, descripcompleta) values ('CORRUGADO KRAFT-KRAFT FLAUTA C','35 ECT ','Sencillo',10.63,'CORRUGADO KRAFT-KRAFT FLAUTA C 35 ECT ');</v>
      </c>
    </row>
    <row r="21" spans="1:7" x14ac:dyDescent="0.25">
      <c r="A21" s="57">
        <v>8</v>
      </c>
      <c r="B21" s="58" t="s">
        <v>53</v>
      </c>
      <c r="C21" s="62" t="s">
        <v>62</v>
      </c>
      <c r="D21" s="60" t="s">
        <v>55</v>
      </c>
      <c r="E21" s="61">
        <v>10.4</v>
      </c>
      <c r="F21" s="61" t="str">
        <f t="shared" si="0"/>
        <v>CORRUGADO KRAFT-KRAFT FLAUTA C 36 ECT</v>
      </c>
      <c r="G21" t="str">
        <f t="shared" si="1"/>
        <v>insert into TiposCartones (descripcion, especificacion, clasificacion, costo, descripcompleta) values ('CORRUGADO KRAFT-KRAFT FLAUTA C','36 ECT','Sencillo',10.4,'CORRUGADO KRAFT-KRAFT FLAUTA C 36 ECT');</v>
      </c>
    </row>
    <row r="22" spans="1:7" x14ac:dyDescent="0.25">
      <c r="A22" s="57">
        <v>9</v>
      </c>
      <c r="B22" s="58" t="s">
        <v>53</v>
      </c>
      <c r="C22" s="62" t="s">
        <v>63</v>
      </c>
      <c r="D22" s="60" t="s">
        <v>55</v>
      </c>
      <c r="E22" s="61">
        <v>12.837999999999999</v>
      </c>
      <c r="F22" s="61" t="str">
        <f t="shared" si="0"/>
        <v>CORRUGADO KRAFT-KRAFT FLAUTA C 40 ECT</v>
      </c>
      <c r="G22" t="str">
        <f t="shared" si="1"/>
        <v>insert into TiposCartones (descripcion, especificacion, clasificacion, costo, descripcompleta) values ('CORRUGADO KRAFT-KRAFT FLAUTA C','40 ECT','Sencillo',12.838,'CORRUGADO KRAFT-KRAFT FLAUTA C 40 ECT');</v>
      </c>
    </row>
    <row r="23" spans="1:7" x14ac:dyDescent="0.25">
      <c r="A23" s="57">
        <v>10</v>
      </c>
      <c r="B23" s="58" t="s">
        <v>53</v>
      </c>
      <c r="C23" s="62" t="s">
        <v>64</v>
      </c>
      <c r="D23" s="60" t="s">
        <v>55</v>
      </c>
      <c r="E23" s="61">
        <v>13.222</v>
      </c>
      <c r="F23" s="61" t="str">
        <f t="shared" si="0"/>
        <v>CORRUGADO KRAFT-KRAFT FLAUTA C 44 ECT</v>
      </c>
      <c r="G23" t="str">
        <f t="shared" si="1"/>
        <v>insert into TiposCartones (descripcion, especificacion, clasificacion, costo, descripcompleta) values ('CORRUGADO KRAFT-KRAFT FLAUTA C','44 ECT','Sencillo',13.222,'CORRUGADO KRAFT-KRAFT FLAUTA C 44 ECT');</v>
      </c>
    </row>
    <row r="24" spans="1:7" x14ac:dyDescent="0.25">
      <c r="A24" s="57">
        <v>11</v>
      </c>
      <c r="B24" s="58" t="s">
        <v>53</v>
      </c>
      <c r="C24" s="62" t="s">
        <v>65</v>
      </c>
      <c r="D24" s="60" t="s">
        <v>55</v>
      </c>
      <c r="E24" s="61">
        <v>12.39</v>
      </c>
      <c r="F24" s="61" t="str">
        <f t="shared" si="0"/>
        <v>CORRUGADO KRAFT-KRAFT FLAUTA C 55 ECT</v>
      </c>
      <c r="G24" t="str">
        <f t="shared" si="1"/>
        <v>insert into TiposCartones (descripcion, especificacion, clasificacion, costo, descripcompleta) values ('CORRUGADO KRAFT-KRAFT FLAUTA C','55 ECT','Sencillo',12.39,'CORRUGADO KRAFT-KRAFT FLAUTA C 55 ECT');</v>
      </c>
    </row>
    <row r="25" spans="1:7" x14ac:dyDescent="0.25">
      <c r="A25" s="57">
        <v>12</v>
      </c>
      <c r="B25" s="57" t="s">
        <v>79</v>
      </c>
      <c r="C25" s="62" t="s">
        <v>57</v>
      </c>
      <c r="D25" s="60" t="s">
        <v>55</v>
      </c>
      <c r="E25" s="61">
        <v>8.74</v>
      </c>
      <c r="F25" s="61" t="str">
        <f t="shared" si="0"/>
        <v>CORRUGADO SENCILLO BLANCO-KRAFT FLAUTA B 23 ECT</v>
      </c>
      <c r="G25" t="str">
        <f t="shared" si="1"/>
        <v>insert into TiposCartones (descripcion, especificacion, clasificacion, costo, descripcompleta) values ('CORRUGADO SENCILLO BLANCO-KRAFT FLAUTA B','23 ECT','Sencillo',8.74,'CORRUGADO SENCILLO BLANCO-KRAFT FLAUTA B 23 ECT');</v>
      </c>
    </row>
    <row r="26" spans="1:7" x14ac:dyDescent="0.25">
      <c r="A26" s="57">
        <v>13</v>
      </c>
      <c r="B26" s="57" t="s">
        <v>79</v>
      </c>
      <c r="C26" s="62" t="s">
        <v>58</v>
      </c>
      <c r="D26" s="60" t="s">
        <v>55</v>
      </c>
      <c r="E26" s="61">
        <v>9.0500000000000007</v>
      </c>
      <c r="F26" s="61" t="str">
        <f t="shared" si="0"/>
        <v>CORRUGADO SENCILLO BLANCO-KRAFT FLAUTA B 26 ECT</v>
      </c>
      <c r="G26" t="str">
        <f t="shared" si="1"/>
        <v>insert into TiposCartones (descripcion, especificacion, clasificacion, costo, descripcompleta) values ('CORRUGADO SENCILLO BLANCO-KRAFT FLAUTA B','26 ECT','Sencillo',9.05,'CORRUGADO SENCILLO BLANCO-KRAFT FLAUTA B 26 ECT');</v>
      </c>
    </row>
    <row r="27" spans="1:7" x14ac:dyDescent="0.25">
      <c r="A27" s="57">
        <v>14</v>
      </c>
      <c r="B27" s="57" t="s">
        <v>79</v>
      </c>
      <c r="C27" s="62" t="s">
        <v>59</v>
      </c>
      <c r="D27" s="60" t="s">
        <v>55</v>
      </c>
      <c r="E27" s="61">
        <v>9.6560000000000006</v>
      </c>
      <c r="F27" s="61" t="str">
        <f t="shared" si="0"/>
        <v>CORRUGADO SENCILLO BLANCO-KRAFT FLAUTA B 29 ECT</v>
      </c>
      <c r="G27" t="str">
        <f t="shared" si="1"/>
        <v>insert into TiposCartones (descripcion, especificacion, clasificacion, costo, descripcompleta) values ('CORRUGADO SENCILLO BLANCO-KRAFT FLAUTA B','29 ECT','Sencillo',9.656,'CORRUGADO SENCILLO BLANCO-KRAFT FLAUTA B 29 ECT');</v>
      </c>
    </row>
    <row r="28" spans="1:7" x14ac:dyDescent="0.25">
      <c r="A28" s="57">
        <v>15</v>
      </c>
      <c r="B28" s="57" t="s">
        <v>79</v>
      </c>
      <c r="C28" s="62" t="s">
        <v>60</v>
      </c>
      <c r="D28" s="60" t="s">
        <v>55</v>
      </c>
      <c r="E28" s="61">
        <v>10.682</v>
      </c>
      <c r="F28" s="61" t="str">
        <f t="shared" si="0"/>
        <v>CORRUGADO SENCILLO BLANCO-KRAFT FLAUTA B 32 ECT</v>
      </c>
      <c r="G28" t="str">
        <f t="shared" si="1"/>
        <v>insert into TiposCartones (descripcion, especificacion, clasificacion, costo, descripcompleta) values ('CORRUGADO SENCILLO BLANCO-KRAFT FLAUTA B','32 ECT','Sencillo',10.682,'CORRUGADO SENCILLO BLANCO-KRAFT FLAUTA B 32 ECT');</v>
      </c>
    </row>
    <row r="29" spans="1:7" x14ac:dyDescent="0.25">
      <c r="A29" s="57">
        <v>16</v>
      </c>
      <c r="B29" s="57" t="s">
        <v>79</v>
      </c>
      <c r="C29" s="62" t="s">
        <v>62</v>
      </c>
      <c r="D29" s="60" t="s">
        <v>55</v>
      </c>
      <c r="E29" s="61">
        <v>13.64</v>
      </c>
      <c r="F29" s="61" t="str">
        <f t="shared" si="0"/>
        <v>CORRUGADO SENCILLO BLANCO-KRAFT FLAUTA B 36 ECT</v>
      </c>
      <c r="G29" t="str">
        <f t="shared" si="1"/>
        <v>insert into TiposCartones (descripcion, especificacion, clasificacion, costo, descripcompleta) values ('CORRUGADO SENCILLO BLANCO-KRAFT FLAUTA B','36 ECT','Sencillo',13.64,'CORRUGADO SENCILLO BLANCO-KRAFT FLAUTA B 36 ECT');</v>
      </c>
    </row>
    <row r="30" spans="1:7" x14ac:dyDescent="0.25">
      <c r="A30" s="57">
        <v>17</v>
      </c>
      <c r="B30" s="57" t="s">
        <v>79</v>
      </c>
      <c r="C30" s="62" t="s">
        <v>63</v>
      </c>
      <c r="D30" s="60" t="s">
        <v>55</v>
      </c>
      <c r="E30" s="61">
        <v>13.243</v>
      </c>
      <c r="F30" s="61" t="str">
        <f t="shared" si="0"/>
        <v>CORRUGADO SENCILLO BLANCO-KRAFT FLAUTA B 40 ECT</v>
      </c>
      <c r="G30" t="str">
        <f t="shared" si="1"/>
        <v>insert into TiposCartones (descripcion, especificacion, clasificacion, costo, descripcompleta) values ('CORRUGADO SENCILLO BLANCO-KRAFT FLAUTA B','40 ECT','Sencillo',13.243,'CORRUGADO SENCILLO BLANCO-KRAFT FLAUTA B 40 ECT');</v>
      </c>
    </row>
    <row r="31" spans="1:7" x14ac:dyDescent="0.25">
      <c r="A31" s="57">
        <v>18</v>
      </c>
      <c r="B31" s="57" t="s">
        <v>66</v>
      </c>
      <c r="C31" s="59" t="s">
        <v>57</v>
      </c>
      <c r="D31" s="60" t="s">
        <v>55</v>
      </c>
      <c r="E31" s="61">
        <v>8.74</v>
      </c>
      <c r="F31" s="61" t="str">
        <f t="shared" si="0"/>
        <v>CORRUGADO SENCILLO BLANCO-KRAFT FLAUTA C 23 ECT</v>
      </c>
      <c r="G31" t="str">
        <f t="shared" si="1"/>
        <v>insert into TiposCartones (descripcion, especificacion, clasificacion, costo, descripcompleta) values ('CORRUGADO SENCILLO BLANCO-KRAFT FLAUTA C','23 ECT','Sencillo',8.74,'CORRUGADO SENCILLO BLANCO-KRAFT FLAUTA C 23 ECT');</v>
      </c>
    </row>
    <row r="32" spans="1:7" x14ac:dyDescent="0.25">
      <c r="A32" s="57">
        <v>19</v>
      </c>
      <c r="B32" s="57" t="s">
        <v>66</v>
      </c>
      <c r="C32" s="62" t="s">
        <v>58</v>
      </c>
      <c r="D32" s="60" t="s">
        <v>55</v>
      </c>
      <c r="E32" s="61">
        <v>10.119999999999999</v>
      </c>
      <c r="F32" s="61" t="str">
        <f t="shared" si="0"/>
        <v>CORRUGADO SENCILLO BLANCO-KRAFT FLAUTA C 26 ECT</v>
      </c>
      <c r="G32" t="str">
        <f t="shared" si="1"/>
        <v>insert into TiposCartones (descripcion, especificacion, clasificacion, costo, descripcompleta) values ('CORRUGADO SENCILLO BLANCO-KRAFT FLAUTA C','26 ECT','Sencillo',10.12,'CORRUGADO SENCILLO BLANCO-KRAFT FLAUTA C 26 ECT');</v>
      </c>
    </row>
    <row r="33" spans="1:7" x14ac:dyDescent="0.25">
      <c r="A33" s="57">
        <v>20</v>
      </c>
      <c r="B33" s="57" t="s">
        <v>66</v>
      </c>
      <c r="C33" s="62" t="s">
        <v>59</v>
      </c>
      <c r="D33" s="60" t="s">
        <v>55</v>
      </c>
      <c r="E33" s="61">
        <v>10.6</v>
      </c>
      <c r="F33" s="61" t="str">
        <f t="shared" si="0"/>
        <v>CORRUGADO SENCILLO BLANCO-KRAFT FLAUTA C 29 ECT</v>
      </c>
      <c r="G33" t="str">
        <f t="shared" si="1"/>
        <v>insert into TiposCartones (descripcion, especificacion, clasificacion, costo, descripcompleta) values ('CORRUGADO SENCILLO BLANCO-KRAFT FLAUTA C','29 ECT','Sencillo',10.6,'CORRUGADO SENCILLO BLANCO-KRAFT FLAUTA C 29 ECT');</v>
      </c>
    </row>
    <row r="34" spans="1:7" x14ac:dyDescent="0.25">
      <c r="A34" s="57">
        <v>21</v>
      </c>
      <c r="B34" s="57" t="s">
        <v>66</v>
      </c>
      <c r="C34" s="62" t="s">
        <v>60</v>
      </c>
      <c r="D34" s="60" t="s">
        <v>55</v>
      </c>
      <c r="E34" s="61">
        <v>11.08</v>
      </c>
      <c r="F34" s="61" t="str">
        <f t="shared" si="0"/>
        <v>CORRUGADO SENCILLO BLANCO-KRAFT FLAUTA C 32 ECT</v>
      </c>
      <c r="G34" t="str">
        <f t="shared" si="1"/>
        <v>insert into TiposCartones (descripcion, especificacion, clasificacion, costo, descripcompleta) values ('CORRUGADO SENCILLO BLANCO-KRAFT FLAUTA C','32 ECT','Sencillo',11.08,'CORRUGADO SENCILLO BLANCO-KRAFT FLAUTA C 32 ECT');</v>
      </c>
    </row>
    <row r="35" spans="1:7" x14ac:dyDescent="0.25">
      <c r="A35" s="57">
        <v>22</v>
      </c>
      <c r="B35" s="57" t="s">
        <v>66</v>
      </c>
      <c r="C35" s="62" t="s">
        <v>62</v>
      </c>
      <c r="D35" s="60" t="s">
        <v>55</v>
      </c>
      <c r="E35" s="61">
        <v>13.64</v>
      </c>
      <c r="F35" s="61" t="str">
        <f t="shared" si="0"/>
        <v>CORRUGADO SENCILLO BLANCO-KRAFT FLAUTA C 36 ECT</v>
      </c>
      <c r="G35" t="str">
        <f t="shared" si="1"/>
        <v>insert into TiposCartones (descripcion, especificacion, clasificacion, costo, descripcompleta) values ('CORRUGADO SENCILLO BLANCO-KRAFT FLAUTA C','36 ECT','Sencillo',13.64,'CORRUGADO SENCILLO BLANCO-KRAFT FLAUTA C 36 ECT');</v>
      </c>
    </row>
    <row r="36" spans="1:7" x14ac:dyDescent="0.25">
      <c r="A36" s="57">
        <v>23</v>
      </c>
      <c r="B36" s="57" t="s">
        <v>66</v>
      </c>
      <c r="C36" s="62" t="s">
        <v>63</v>
      </c>
      <c r="D36" s="60" t="s">
        <v>55</v>
      </c>
      <c r="E36" s="61">
        <v>13.243</v>
      </c>
      <c r="F36" s="61" t="str">
        <f t="shared" si="0"/>
        <v>CORRUGADO SENCILLO BLANCO-KRAFT FLAUTA C 40 ECT</v>
      </c>
      <c r="G36" t="str">
        <f t="shared" si="1"/>
        <v>insert into TiposCartones (descripcion, especificacion, clasificacion, costo, descripcompleta) values ('CORRUGADO SENCILLO BLANCO-KRAFT FLAUTA C','40 ECT','Sencillo',13.243,'CORRUGADO SENCILLO BLANCO-KRAFT FLAUTA C 40 ECT');</v>
      </c>
    </row>
    <row r="37" spans="1:7" x14ac:dyDescent="0.25">
      <c r="A37" s="57">
        <v>24</v>
      </c>
      <c r="B37" s="58" t="s">
        <v>78</v>
      </c>
      <c r="C37" s="62" t="s">
        <v>56</v>
      </c>
      <c r="D37" s="60" t="s">
        <v>55</v>
      </c>
      <c r="E37" s="61">
        <v>6.4130000000000003</v>
      </c>
      <c r="F37" s="61" t="str">
        <f t="shared" si="0"/>
        <v>CORRUGADO SENCILLO KRAFT-KRAFT FLAUTA B 21 ECT</v>
      </c>
      <c r="G37" t="str">
        <f t="shared" si="1"/>
        <v>insert into TiposCartones (descripcion, especificacion, clasificacion, costo, descripcompleta) values ('CORRUGADO SENCILLO KRAFT-KRAFT FLAUTA B','21 ECT','Sencillo',6.413,'CORRUGADO SENCILLO KRAFT-KRAFT FLAUTA B 21 ECT');</v>
      </c>
    </row>
    <row r="38" spans="1:7" x14ac:dyDescent="0.25">
      <c r="A38" s="57">
        <v>25</v>
      </c>
      <c r="B38" s="58" t="s">
        <v>78</v>
      </c>
      <c r="C38" s="62" t="s">
        <v>57</v>
      </c>
      <c r="D38" s="60" t="s">
        <v>55</v>
      </c>
      <c r="E38" s="61">
        <v>7.2270000000000003</v>
      </c>
      <c r="F38" s="61" t="str">
        <f t="shared" si="0"/>
        <v>CORRUGADO SENCILLO KRAFT-KRAFT FLAUTA B 23 ECT</v>
      </c>
      <c r="G38" t="str">
        <f t="shared" si="1"/>
        <v>insert into TiposCartones (descripcion, especificacion, clasificacion, costo, descripcompleta) values ('CORRUGADO SENCILLO KRAFT-KRAFT FLAUTA B','23 ECT','Sencillo',7.227,'CORRUGADO SENCILLO KRAFT-KRAFT FLAUTA B 23 ECT');</v>
      </c>
    </row>
    <row r="39" spans="1:7" x14ac:dyDescent="0.25">
      <c r="A39" s="57">
        <v>26</v>
      </c>
      <c r="B39" s="58" t="s">
        <v>78</v>
      </c>
      <c r="C39" s="62" t="s">
        <v>58</v>
      </c>
      <c r="D39" s="60" t="s">
        <v>55</v>
      </c>
      <c r="E39" s="61">
        <v>7.8650000000000002</v>
      </c>
      <c r="F39" s="61" t="str">
        <f t="shared" si="0"/>
        <v>CORRUGADO SENCILLO KRAFT-KRAFT FLAUTA B 26 ECT</v>
      </c>
      <c r="G39" t="str">
        <f t="shared" si="1"/>
        <v>insert into TiposCartones (descripcion, especificacion, clasificacion, costo, descripcompleta) values ('CORRUGADO SENCILLO KRAFT-KRAFT FLAUTA B','26 ECT','Sencillo',7.865,'CORRUGADO SENCILLO KRAFT-KRAFT FLAUTA B 26 ECT');</v>
      </c>
    </row>
    <row r="40" spans="1:7" x14ac:dyDescent="0.25">
      <c r="A40" s="57">
        <v>27</v>
      </c>
      <c r="B40" s="58" t="s">
        <v>78</v>
      </c>
      <c r="C40" s="62" t="s">
        <v>59</v>
      </c>
      <c r="D40" s="60" t="s">
        <v>55</v>
      </c>
      <c r="E40" s="61">
        <v>8.5030000000000001</v>
      </c>
      <c r="F40" s="61" t="str">
        <f t="shared" si="0"/>
        <v>CORRUGADO SENCILLO KRAFT-KRAFT FLAUTA B 29 ECT</v>
      </c>
      <c r="G40" t="str">
        <f t="shared" si="1"/>
        <v>insert into TiposCartones (descripcion, especificacion, clasificacion, costo, descripcompleta) values ('CORRUGADO SENCILLO KRAFT-KRAFT FLAUTA B','29 ECT','Sencillo',8.503,'CORRUGADO SENCILLO KRAFT-KRAFT FLAUTA B 29 ECT');</v>
      </c>
    </row>
    <row r="41" spans="1:7" x14ac:dyDescent="0.25">
      <c r="A41" s="57">
        <v>28</v>
      </c>
      <c r="B41" s="58" t="s">
        <v>78</v>
      </c>
      <c r="C41" s="62" t="s">
        <v>60</v>
      </c>
      <c r="D41" s="60" t="s">
        <v>55</v>
      </c>
      <c r="E41" s="61">
        <v>8.8680000000000003</v>
      </c>
      <c r="F41" s="61" t="str">
        <f t="shared" si="0"/>
        <v>CORRUGADO SENCILLO KRAFT-KRAFT FLAUTA B 32 ECT</v>
      </c>
      <c r="G41" t="str">
        <f t="shared" si="1"/>
        <v>insert into TiposCartones (descripcion, especificacion, clasificacion, costo, descripcompleta) values ('CORRUGADO SENCILLO KRAFT-KRAFT FLAUTA B','32 ECT','Sencillo',8.868,'CORRUGADO SENCILLO KRAFT-KRAFT FLAUTA B 32 ECT');</v>
      </c>
    </row>
    <row r="42" spans="1:7" x14ac:dyDescent="0.25">
      <c r="A42" s="57">
        <v>29</v>
      </c>
      <c r="B42" s="57" t="s">
        <v>81</v>
      </c>
      <c r="C42" s="62" t="s">
        <v>58</v>
      </c>
      <c r="D42" s="60" t="s">
        <v>55</v>
      </c>
      <c r="E42" s="61">
        <v>9.2100000000000009</v>
      </c>
      <c r="F42" s="61" t="str">
        <f t="shared" si="0"/>
        <v>MICROCORRUGADO BLANCO-KRAFT FLAUTA E 26 ECT</v>
      </c>
      <c r="G42" t="str">
        <f t="shared" si="1"/>
        <v>insert into TiposCartones (descripcion, especificacion, clasificacion, costo, descripcompleta) values ('MICROCORRUGADO BLANCO-KRAFT FLAUTA E','26 ECT','Sencillo',9.21,'MICROCORRUGADO BLANCO-KRAFT FLAUTA E 26 ECT');</v>
      </c>
    </row>
    <row r="43" spans="1:7" x14ac:dyDescent="0.25">
      <c r="A43" s="57">
        <v>30</v>
      </c>
      <c r="B43" s="57" t="s">
        <v>81</v>
      </c>
      <c r="C43" s="62" t="s">
        <v>59</v>
      </c>
      <c r="D43" s="60" t="s">
        <v>55</v>
      </c>
      <c r="E43" s="61">
        <v>9.42</v>
      </c>
      <c r="F43" s="61" t="str">
        <f t="shared" si="0"/>
        <v>MICROCORRUGADO BLANCO-KRAFT FLAUTA E 29 ECT</v>
      </c>
      <c r="G43" t="str">
        <f t="shared" si="1"/>
        <v>insert into TiposCartones (descripcion, especificacion, clasificacion, costo, descripcompleta) values ('MICROCORRUGADO BLANCO-KRAFT FLAUTA E','29 ECT','Sencillo',9.42,'MICROCORRUGADO BLANCO-KRAFT FLAUTA E 29 ECT');</v>
      </c>
    </row>
    <row r="44" spans="1:7" x14ac:dyDescent="0.25">
      <c r="A44" s="57">
        <v>31</v>
      </c>
      <c r="B44" s="58" t="s">
        <v>80</v>
      </c>
      <c r="C44" s="62" t="s">
        <v>57</v>
      </c>
      <c r="D44" s="60" t="s">
        <v>55</v>
      </c>
      <c r="E44" s="61">
        <v>7.11</v>
      </c>
      <c r="F44" s="61" t="str">
        <f t="shared" si="0"/>
        <v>MICROCORRUGADO KRAFT-KRAFT FLAUTA E 23 ECT</v>
      </c>
      <c r="G44" t="str">
        <f t="shared" si="1"/>
        <v>insert into TiposCartones (descripcion, especificacion, clasificacion, costo, descripcompleta) values ('MICROCORRUGADO KRAFT-KRAFT FLAUTA E','23 ECT','Sencillo',7.11,'MICROCORRUGADO KRAFT-KRAFT FLAUTA E 23 ECT');</v>
      </c>
    </row>
    <row r="45" spans="1:7" x14ac:dyDescent="0.25">
      <c r="A45" s="57">
        <v>32</v>
      </c>
      <c r="B45" s="58" t="s">
        <v>80</v>
      </c>
      <c r="C45" s="62" t="s">
        <v>58</v>
      </c>
      <c r="D45" s="60" t="s">
        <v>55</v>
      </c>
      <c r="E45" s="61">
        <v>7.31</v>
      </c>
      <c r="F45" s="61" t="str">
        <f t="shared" si="0"/>
        <v>MICROCORRUGADO KRAFT-KRAFT FLAUTA E 26 ECT</v>
      </c>
      <c r="G45" t="str">
        <f t="shared" si="1"/>
        <v>insert into TiposCartones (descripcion, especificacion, clasificacion, costo, descripcompleta) values ('MICROCORRUGADO KRAFT-KRAFT FLAUTA E','26 ECT','Sencillo',7.31,'MICROCORRUGADO KRAFT-KRAFT FLAUTA E 26 ECT');</v>
      </c>
    </row>
    <row r="46" spans="1:7" x14ac:dyDescent="0.25">
      <c r="A46" s="57">
        <v>33</v>
      </c>
      <c r="B46" s="58" t="s">
        <v>80</v>
      </c>
      <c r="C46" s="62" t="s">
        <v>59</v>
      </c>
      <c r="D46" s="60" t="s">
        <v>55</v>
      </c>
      <c r="E46" s="61">
        <v>8.0299999999999994</v>
      </c>
      <c r="F46" s="61" t="str">
        <f t="shared" si="0"/>
        <v>MICROCORRUGADO KRAFT-KRAFT FLAUTA E 29 ECT</v>
      </c>
      <c r="G46" t="str">
        <f t="shared" si="1"/>
        <v>insert into TiposCartones (descripcion, especificacion, clasificacion, costo, descripcompleta) values ('MICROCORRUGADO KRAFT-KRAFT FLAUTA E','29 ECT','Sencillo',8.03,'MICROCORRUGADO KRAFT-KRAFT FLAUTA E 29 ECT');</v>
      </c>
    </row>
    <row r="47" spans="1:7" x14ac:dyDescent="0.25">
      <c r="A47" s="57">
        <v>34</v>
      </c>
      <c r="B47" s="58" t="s">
        <v>80</v>
      </c>
      <c r="C47" s="62" t="s">
        <v>60</v>
      </c>
      <c r="D47" s="60" t="s">
        <v>55</v>
      </c>
      <c r="E47" s="61">
        <v>8.4700000000000006</v>
      </c>
      <c r="F47" s="61" t="str">
        <f t="shared" si="0"/>
        <v>MICROCORRUGADO KRAFT-KRAFT FLAUTA E 32 ECT</v>
      </c>
      <c r="G47" t="str">
        <f t="shared" si="1"/>
        <v>insert into TiposCartones (descripcion, especificacion, clasificacion, costo, descripcompleta) values ('MICROCORRUGADO KRAFT-KRAFT FLAUTA E','32 ECT','Sencillo',8.47,'MICROCORRUGADO KRAFT-KRAFT FLAUTA E 32 ECT');</v>
      </c>
    </row>
    <row r="48" spans="1:7" x14ac:dyDescent="0.25">
      <c r="A48" s="57">
        <v>35</v>
      </c>
      <c r="B48" s="58" t="s">
        <v>80</v>
      </c>
      <c r="C48" s="62" t="s">
        <v>63</v>
      </c>
      <c r="D48" s="60" t="s">
        <v>55</v>
      </c>
      <c r="E48" s="61">
        <v>9.57</v>
      </c>
      <c r="F48" s="61" t="str">
        <f t="shared" si="0"/>
        <v>MICROCORRUGADO KRAFT-KRAFT FLAUTA E 40 ECT</v>
      </c>
      <c r="G48" t="str">
        <f t="shared" si="1"/>
        <v>insert into TiposCartones (descripcion, especificacion, clasificacion, costo, descripcompleta) values ('MICROCORRUGADO KRAFT-KRAFT FLAUTA E','40 ECT','Sencillo',9.57,'MICROCORRUGADO KRAFT-KRAFT FLAUTA E 40 ECT');</v>
      </c>
    </row>
    <row r="49" spans="1:7" x14ac:dyDescent="0.25">
      <c r="A49" s="63">
        <v>1</v>
      </c>
      <c r="B49" s="63" t="s">
        <v>100</v>
      </c>
      <c r="C49" s="64" t="s">
        <v>90</v>
      </c>
      <c r="D49" s="65" t="s">
        <v>84</v>
      </c>
      <c r="E49" s="66">
        <v>8.81</v>
      </c>
      <c r="F49" s="66" t="str">
        <f t="shared" si="0"/>
        <v>SINGLE FACE BLANCO- BLANCO FLAUTA B LN150/PM150</v>
      </c>
      <c r="G49" t="str">
        <f t="shared" si="1"/>
        <v>insert into TiposCartones (descripcion, especificacion, clasificacion, costo, descripcompleta) values ('SINGLE FACE BLANCO- BLANCO FLAUTA B','LN150/PM150','Single',8.81,'SINGLE FACE BLANCO- BLANCO FLAUTA B LN150/PM150');</v>
      </c>
    </row>
    <row r="50" spans="1:7" x14ac:dyDescent="0.25">
      <c r="A50" s="63">
        <v>2</v>
      </c>
      <c r="B50" s="63" t="s">
        <v>89</v>
      </c>
      <c r="C50" s="64" t="s">
        <v>90</v>
      </c>
      <c r="D50" s="65" t="s">
        <v>84</v>
      </c>
      <c r="E50" s="66">
        <v>8.67</v>
      </c>
      <c r="F50" s="66" t="str">
        <f t="shared" si="0"/>
        <v>SINGLE FACE BLANCO- BLANCO FLAUTA E LN150/PM150</v>
      </c>
      <c r="G50" t="str">
        <f t="shared" si="1"/>
        <v>insert into TiposCartones (descripcion, especificacion, clasificacion, costo, descripcompleta) values ('SINGLE FACE BLANCO- BLANCO FLAUTA E','LN150/PM150','Single',8.67,'SINGLE FACE BLANCO- BLANCO FLAUTA E LN150/PM150');</v>
      </c>
    </row>
    <row r="51" spans="1:7" x14ac:dyDescent="0.25">
      <c r="A51" s="63">
        <v>3</v>
      </c>
      <c r="B51" s="63" t="s">
        <v>89</v>
      </c>
      <c r="C51" s="64" t="s">
        <v>90</v>
      </c>
      <c r="D51" s="65" t="s">
        <v>84</v>
      </c>
      <c r="E51" s="66">
        <v>8.99</v>
      </c>
      <c r="F51" s="66" t="str">
        <f t="shared" si="0"/>
        <v>SINGLE FACE BLANCO- BLANCO FLAUTA E LN150/PM150</v>
      </c>
      <c r="G51" t="str">
        <f t="shared" si="1"/>
        <v>insert into TiposCartones (descripcion, especificacion, clasificacion, costo, descripcompleta) values ('SINGLE FACE BLANCO- BLANCO FLAUTA E','LN150/PM150','Single',8.99,'SINGLE FACE BLANCO- BLANCO FLAUTA E LN150/PM150');</v>
      </c>
    </row>
    <row r="52" spans="1:7" x14ac:dyDescent="0.25">
      <c r="A52" s="63">
        <v>4</v>
      </c>
      <c r="B52" s="63" t="s">
        <v>94</v>
      </c>
      <c r="C52" s="64" t="s">
        <v>90</v>
      </c>
      <c r="D52" s="65" t="s">
        <v>84</v>
      </c>
      <c r="E52" s="66">
        <v>8.4</v>
      </c>
      <c r="F52" s="66" t="str">
        <f t="shared" si="0"/>
        <v>SINGLE FACE BLANCO- BLANCO FLAUTA F LN150/PM150</v>
      </c>
      <c r="G52" t="str">
        <f t="shared" si="1"/>
        <v>insert into TiposCartones (descripcion, especificacion, clasificacion, costo, descripcompleta) values ('SINGLE FACE BLANCO- BLANCO FLAUTA F','LN150/PM150','Single',8.4,'SINGLE FACE BLANCO- BLANCO FLAUTA F LN150/PM150');</v>
      </c>
    </row>
    <row r="53" spans="1:7" x14ac:dyDescent="0.25">
      <c r="A53" s="63">
        <v>5</v>
      </c>
      <c r="B53" s="63" t="s">
        <v>99</v>
      </c>
      <c r="C53" s="64" t="s">
        <v>88</v>
      </c>
      <c r="D53" s="65" t="s">
        <v>84</v>
      </c>
      <c r="E53" s="66">
        <v>7.57</v>
      </c>
      <c r="F53" s="66" t="str">
        <f t="shared" si="0"/>
        <v>SINGLE FACE BLANCO-KRAFT FLAUTA B LN150/PM120</v>
      </c>
      <c r="G53" t="str">
        <f t="shared" si="1"/>
        <v>insert into TiposCartones (descripcion, especificacion, clasificacion, costo, descripcompleta) values ('SINGLE FACE BLANCO-KRAFT FLAUTA B','LN150/PM120','Single',7.57,'SINGLE FACE BLANCO-KRAFT FLAUTA B LN150/PM120');</v>
      </c>
    </row>
    <row r="54" spans="1:7" x14ac:dyDescent="0.25">
      <c r="A54" s="63">
        <v>6</v>
      </c>
      <c r="B54" s="63" t="s">
        <v>87</v>
      </c>
      <c r="C54" s="64" t="s">
        <v>88</v>
      </c>
      <c r="D54" s="65" t="s">
        <v>84</v>
      </c>
      <c r="E54" s="66">
        <v>6.47</v>
      </c>
      <c r="F54" s="66" t="str">
        <f t="shared" si="0"/>
        <v>SINGLE FACE BLANCO-KRAFT FLAUTA E LN150/PM120</v>
      </c>
      <c r="G54" t="str">
        <f t="shared" si="1"/>
        <v>insert into TiposCartones (descripcion, especificacion, clasificacion, costo, descripcompleta) values ('SINGLE FACE BLANCO-KRAFT FLAUTA E','LN150/PM120','Single',6.47,'SINGLE FACE BLANCO-KRAFT FLAUTA E LN150/PM120');</v>
      </c>
    </row>
    <row r="55" spans="1:7" x14ac:dyDescent="0.25">
      <c r="A55" s="63">
        <v>7</v>
      </c>
      <c r="B55" s="63" t="s">
        <v>87</v>
      </c>
      <c r="C55" s="64" t="s">
        <v>88</v>
      </c>
      <c r="D55" s="65" t="s">
        <v>84</v>
      </c>
      <c r="E55" s="66">
        <v>7.72</v>
      </c>
      <c r="F55" s="66" t="str">
        <f t="shared" si="0"/>
        <v>SINGLE FACE BLANCO-KRAFT FLAUTA E LN150/PM120</v>
      </c>
      <c r="G55" t="str">
        <f t="shared" si="1"/>
        <v>insert into TiposCartones (descripcion, especificacion, clasificacion, costo, descripcompleta) values ('SINGLE FACE BLANCO-KRAFT FLAUTA E','LN150/PM120','Single',7.72,'SINGLE FACE BLANCO-KRAFT FLAUTA E LN150/PM120');</v>
      </c>
    </row>
    <row r="56" spans="1:7" x14ac:dyDescent="0.25">
      <c r="A56" s="63">
        <v>8</v>
      </c>
      <c r="B56" s="63" t="s">
        <v>93</v>
      </c>
      <c r="C56" s="64" t="s">
        <v>88</v>
      </c>
      <c r="D56" s="65" t="s">
        <v>84</v>
      </c>
      <c r="E56" s="66">
        <v>6.33</v>
      </c>
      <c r="F56" s="66" t="str">
        <f t="shared" si="0"/>
        <v>SINGLE FACE BLANCO-KRAFT FLAUTA F LN150/PM120</v>
      </c>
      <c r="G56" t="str">
        <f t="shared" si="1"/>
        <v>insert into TiposCartones (descripcion, especificacion, clasificacion, costo, descripcompleta) values ('SINGLE FACE BLANCO-KRAFT FLAUTA F','LN150/PM120','Single',6.33,'SINGLE FACE BLANCO-KRAFT FLAUTA F LN150/PM120');</v>
      </c>
    </row>
    <row r="57" spans="1:7" x14ac:dyDescent="0.25">
      <c r="A57" s="63">
        <v>9</v>
      </c>
      <c r="B57" s="63" t="s">
        <v>95</v>
      </c>
      <c r="C57" s="64" t="s">
        <v>83</v>
      </c>
      <c r="D57" s="65" t="s">
        <v>84</v>
      </c>
      <c r="E57" s="66">
        <v>4.97</v>
      </c>
      <c r="F57" s="66" t="str">
        <f t="shared" si="0"/>
        <v>SINGLE FACE KRAFT-KRAFT FLAUTA B LN112/PM112</v>
      </c>
      <c r="G57" t="str">
        <f t="shared" si="1"/>
        <v>insert into TiposCartones (descripcion, especificacion, clasificacion, costo, descripcompleta) values ('SINGLE FACE KRAFT-KRAFT FLAUTA B','LN112/PM112','Single',4.97,'SINGLE FACE KRAFT-KRAFT FLAUTA B LN112/PM112');</v>
      </c>
    </row>
    <row r="58" spans="1:7" x14ac:dyDescent="0.25">
      <c r="A58" s="63">
        <v>10</v>
      </c>
      <c r="B58" s="63" t="s">
        <v>95</v>
      </c>
      <c r="C58" s="64" t="s">
        <v>96</v>
      </c>
      <c r="D58" s="65" t="s">
        <v>84</v>
      </c>
      <c r="E58" s="66">
        <v>5.23</v>
      </c>
      <c r="F58" s="66" t="str">
        <f t="shared" si="0"/>
        <v>SINGLE FACE KRAFT-KRAFT FLAUTA B LN140/PM120</v>
      </c>
      <c r="G58" t="str">
        <f t="shared" si="1"/>
        <v>insert into TiposCartones (descripcion, especificacion, clasificacion, costo, descripcompleta) values ('SINGLE FACE KRAFT-KRAFT FLAUTA B','LN140/PM120','Single',5.23,'SINGLE FACE KRAFT-KRAFT FLAUTA B LN140/PM120');</v>
      </c>
    </row>
    <row r="59" spans="1:7" x14ac:dyDescent="0.25">
      <c r="A59" s="63">
        <v>11</v>
      </c>
      <c r="B59" s="63" t="s">
        <v>95</v>
      </c>
      <c r="C59" s="64" t="s">
        <v>86</v>
      </c>
      <c r="D59" s="65" t="s">
        <v>84</v>
      </c>
      <c r="E59" s="66">
        <v>5.96</v>
      </c>
      <c r="F59" s="66" t="str">
        <f t="shared" si="0"/>
        <v>SINGLE FACE KRAFT-KRAFT FLAUTA B LN140/PM140</v>
      </c>
      <c r="G59" t="str">
        <f t="shared" si="1"/>
        <v>insert into TiposCartones (descripcion, especificacion, clasificacion, costo, descripcompleta) values ('SINGLE FACE KRAFT-KRAFT FLAUTA B','LN140/PM140','Single',5.96,'SINGLE FACE KRAFT-KRAFT FLAUTA B LN140/PM140');</v>
      </c>
    </row>
    <row r="60" spans="1:7" x14ac:dyDescent="0.25">
      <c r="A60" s="63">
        <v>12</v>
      </c>
      <c r="B60" s="63" t="s">
        <v>95</v>
      </c>
      <c r="C60" s="64" t="s">
        <v>97</v>
      </c>
      <c r="D60" s="65" t="s">
        <v>84</v>
      </c>
      <c r="E60" s="66">
        <v>5.7</v>
      </c>
      <c r="F60" s="66" t="str">
        <f t="shared" si="0"/>
        <v>SINGLE FACE KRAFT-KRAFT FLAUTA B LN180/PM120</v>
      </c>
      <c r="G60" t="str">
        <f t="shared" si="1"/>
        <v>insert into TiposCartones (descripcion, especificacion, clasificacion, costo, descripcompleta) values ('SINGLE FACE KRAFT-KRAFT FLAUTA B','LN180/PM120','Single',5.7,'SINGLE FACE KRAFT-KRAFT FLAUTA B LN180/PM120');</v>
      </c>
    </row>
    <row r="61" spans="1:7" x14ac:dyDescent="0.25">
      <c r="A61" s="63">
        <v>13</v>
      </c>
      <c r="B61" s="63" t="s">
        <v>95</v>
      </c>
      <c r="C61" s="64" t="s">
        <v>98</v>
      </c>
      <c r="D61" s="65" t="s">
        <v>84</v>
      </c>
      <c r="E61" s="66">
        <v>6.02</v>
      </c>
      <c r="F61" s="66" t="str">
        <f t="shared" si="0"/>
        <v>SINGLE FACE KRAFT-KRAFT FLAUTA B LN180/PM140</v>
      </c>
      <c r="G61" t="str">
        <f t="shared" si="1"/>
        <v>insert into TiposCartones (descripcion, especificacion, clasificacion, costo, descripcompleta) values ('SINGLE FACE KRAFT-KRAFT FLAUTA B','LN180/PM140','Single',6.02,'SINGLE FACE KRAFT-KRAFT FLAUTA B LN180/PM140');</v>
      </c>
    </row>
    <row r="62" spans="1:7" x14ac:dyDescent="0.25">
      <c r="A62" s="63">
        <v>14</v>
      </c>
      <c r="B62" s="63" t="s">
        <v>101</v>
      </c>
      <c r="C62" s="64" t="s">
        <v>83</v>
      </c>
      <c r="D62" s="65" t="s">
        <v>84</v>
      </c>
      <c r="E62" s="66">
        <v>5.09</v>
      </c>
      <c r="F62" s="66" t="str">
        <f t="shared" si="0"/>
        <v>SINGLE FACE KRAFT-KRAFT FLAUTA C LN112/PM112</v>
      </c>
      <c r="G62" t="str">
        <f t="shared" si="1"/>
        <v>insert into TiposCartones (descripcion, especificacion, clasificacion, costo, descripcompleta) values ('SINGLE FACE KRAFT-KRAFT FLAUTA C','LN112/PM112','Single',5.09,'SINGLE FACE KRAFT-KRAFT FLAUTA C LN112/PM112');</v>
      </c>
    </row>
    <row r="63" spans="1:7" x14ac:dyDescent="0.25">
      <c r="A63" s="63">
        <v>15</v>
      </c>
      <c r="B63" s="63" t="s">
        <v>101</v>
      </c>
      <c r="C63" s="64" t="s">
        <v>96</v>
      </c>
      <c r="D63" s="65" t="s">
        <v>84</v>
      </c>
      <c r="E63" s="66">
        <v>5.5</v>
      </c>
      <c r="F63" s="66" t="str">
        <f t="shared" si="0"/>
        <v>SINGLE FACE KRAFT-KRAFT FLAUTA C LN140/PM120</v>
      </c>
      <c r="G63" t="str">
        <f t="shared" si="1"/>
        <v>insert into TiposCartones (descripcion, especificacion, clasificacion, costo, descripcompleta) values ('SINGLE FACE KRAFT-KRAFT FLAUTA C','LN140/PM120','Single',5.5,'SINGLE FACE KRAFT-KRAFT FLAUTA C LN140/PM120');</v>
      </c>
    </row>
    <row r="64" spans="1:7" x14ac:dyDescent="0.25">
      <c r="A64" s="63">
        <v>16</v>
      </c>
      <c r="B64" s="63" t="s">
        <v>101</v>
      </c>
      <c r="C64" s="64" t="s">
        <v>86</v>
      </c>
      <c r="D64" s="65" t="s">
        <v>84</v>
      </c>
      <c r="E64" s="66">
        <v>6.09</v>
      </c>
      <c r="F64" s="66" t="str">
        <f t="shared" si="0"/>
        <v>SINGLE FACE KRAFT-KRAFT FLAUTA C LN140/PM140</v>
      </c>
      <c r="G64" t="str">
        <f t="shared" si="1"/>
        <v>insert into TiposCartones (descripcion, especificacion, clasificacion, costo, descripcompleta) values ('SINGLE FACE KRAFT-KRAFT FLAUTA C','LN140/PM140','Single',6.09,'SINGLE FACE KRAFT-KRAFT FLAUTA C LN140/PM140');</v>
      </c>
    </row>
    <row r="65" spans="1:7" x14ac:dyDescent="0.25">
      <c r="A65" s="63">
        <v>17</v>
      </c>
      <c r="B65" s="63" t="s">
        <v>101</v>
      </c>
      <c r="C65" s="64" t="s">
        <v>102</v>
      </c>
      <c r="D65" s="65" t="s">
        <v>84</v>
      </c>
      <c r="E65" s="66">
        <v>6.69</v>
      </c>
      <c r="F65" s="66" t="str">
        <f t="shared" si="0"/>
        <v>SINGLE FACE KRAFT-KRAFT FLAUTA C LN205/PM140</v>
      </c>
      <c r="G65" t="str">
        <f t="shared" si="1"/>
        <v>insert into TiposCartones (descripcion, especificacion, clasificacion, costo, descripcompleta) values ('SINGLE FACE KRAFT-KRAFT FLAUTA C','LN205/PM140','Single',6.69,'SINGLE FACE KRAFT-KRAFT FLAUTA C LN205/PM140');</v>
      </c>
    </row>
    <row r="66" spans="1:7" x14ac:dyDescent="0.25">
      <c r="A66" s="63">
        <v>18</v>
      </c>
      <c r="B66" s="67" t="s">
        <v>82</v>
      </c>
      <c r="C66" s="64" t="s">
        <v>83</v>
      </c>
      <c r="D66" s="65" t="s">
        <v>84</v>
      </c>
      <c r="E66" s="66">
        <v>4.62</v>
      </c>
      <c r="F66" s="66" t="str">
        <f t="shared" si="0"/>
        <v>SINGLE FACE KRAFT-KRAFT FLAUTA E LN112/PM112</v>
      </c>
      <c r="G66" t="str">
        <f t="shared" si="1"/>
        <v>insert into TiposCartones (descripcion, especificacion, clasificacion, costo, descripcompleta) values ('SINGLE FACE KRAFT-KRAFT FLAUTA E','LN112/PM112','Single',4.62,'SINGLE FACE KRAFT-KRAFT FLAUTA E LN112/PM112');</v>
      </c>
    </row>
    <row r="67" spans="1:7" x14ac:dyDescent="0.25">
      <c r="A67" s="63">
        <v>19</v>
      </c>
      <c r="B67" s="67" t="s">
        <v>82</v>
      </c>
      <c r="C67" s="64" t="s">
        <v>85</v>
      </c>
      <c r="D67" s="65" t="s">
        <v>84</v>
      </c>
      <c r="E67" s="66">
        <v>4.9800000000000004</v>
      </c>
      <c r="F67" s="66" t="str">
        <f t="shared" ref="F67:F71" si="2">B67&amp;" "&amp;C67</f>
        <v>SINGLE FACE KRAFT-KRAFT FLAUTA E LN140/PM112</v>
      </c>
      <c r="G67" t="str">
        <f t="shared" ref="G67:G71" si="3">"insert into TiposCartones (descripcion, especificacion, clasificacion, costo, descripcompleta) values ('"&amp;B67&amp;"','"&amp;C67&amp;"','"&amp;D67&amp;"',"&amp;E67&amp;",'"&amp;F67&amp;"');"</f>
        <v>insert into TiposCartones (descripcion, especificacion, clasificacion, costo, descripcompleta) values ('SINGLE FACE KRAFT-KRAFT FLAUTA E','LN140/PM112','Single',4.98,'SINGLE FACE KRAFT-KRAFT FLAUTA E LN140/PM112');</v>
      </c>
    </row>
    <row r="68" spans="1:7" x14ac:dyDescent="0.25">
      <c r="A68" s="63">
        <v>20</v>
      </c>
      <c r="B68" s="67" t="s">
        <v>82</v>
      </c>
      <c r="C68" s="64" t="s">
        <v>86</v>
      </c>
      <c r="D68" s="65" t="s">
        <v>84</v>
      </c>
      <c r="E68" s="66">
        <v>5.81</v>
      </c>
      <c r="F68" s="66" t="str">
        <f t="shared" si="2"/>
        <v>SINGLE FACE KRAFT-KRAFT FLAUTA E LN140/PM140</v>
      </c>
      <c r="G68" t="str">
        <f t="shared" si="3"/>
        <v>insert into TiposCartones (descripcion, especificacion, clasificacion, costo, descripcompleta) values ('SINGLE FACE KRAFT-KRAFT FLAUTA E','LN140/PM140','Single',5.81,'SINGLE FACE KRAFT-KRAFT FLAUTA E LN140/PM140');</v>
      </c>
    </row>
    <row r="69" spans="1:7" x14ac:dyDescent="0.25">
      <c r="A69" s="63">
        <v>21</v>
      </c>
      <c r="B69" s="63" t="s">
        <v>91</v>
      </c>
      <c r="C69" s="64" t="s">
        <v>83</v>
      </c>
      <c r="D69" s="65" t="s">
        <v>84</v>
      </c>
      <c r="E69" s="66">
        <v>4.54</v>
      </c>
      <c r="F69" s="66" t="str">
        <f t="shared" si="2"/>
        <v>SINGLE FACE KRAFT-KRAFT FLAUTA F LN112/PM112</v>
      </c>
      <c r="G69" t="str">
        <f t="shared" si="3"/>
        <v>insert into TiposCartones (descripcion, especificacion, clasificacion, costo, descripcompleta) values ('SINGLE FACE KRAFT-KRAFT FLAUTA F','LN112/PM112','Single',4.54,'SINGLE FACE KRAFT-KRAFT FLAUTA F LN112/PM112');</v>
      </c>
    </row>
    <row r="70" spans="1:7" x14ac:dyDescent="0.25">
      <c r="A70" s="63">
        <v>22</v>
      </c>
      <c r="B70" s="63" t="s">
        <v>91</v>
      </c>
      <c r="C70" s="64" t="s">
        <v>85</v>
      </c>
      <c r="D70" s="65" t="s">
        <v>84</v>
      </c>
      <c r="E70" s="66">
        <v>4.8499999999999996</v>
      </c>
      <c r="F70" s="66" t="str">
        <f t="shared" si="2"/>
        <v>SINGLE FACE KRAFT-KRAFT FLAUTA F LN140/PM112</v>
      </c>
      <c r="G70" t="str">
        <f t="shared" si="3"/>
        <v>insert into TiposCartones (descripcion, especificacion, clasificacion, costo, descripcompleta) values ('SINGLE FACE KRAFT-KRAFT FLAUTA F','LN140/PM112','Single',4.85,'SINGLE FACE KRAFT-KRAFT FLAUTA F LN140/PM112');</v>
      </c>
    </row>
    <row r="71" spans="1:7" x14ac:dyDescent="0.25">
      <c r="A71" s="63">
        <v>23</v>
      </c>
      <c r="B71" s="63" t="s">
        <v>91</v>
      </c>
      <c r="C71" s="64" t="s">
        <v>92</v>
      </c>
      <c r="D71" s="65" t="s">
        <v>84</v>
      </c>
      <c r="E71" s="66">
        <v>8.4</v>
      </c>
      <c r="F71" s="66" t="str">
        <f t="shared" si="2"/>
        <v>SINGLE FACE KRAFT-KRAFT FLAUTA F LN180/PM112</v>
      </c>
      <c r="G71" t="str">
        <f t="shared" si="3"/>
        <v>insert into TiposCartones (descripcion, especificacion, clasificacion, costo, descripcompleta) values ('SINGLE FACE KRAFT-KRAFT FLAUTA F','LN180/PM112','Single',8.4,'SINGLE FACE KRAFT-KRAFT FLAUTA F LN180/PM112');</v>
      </c>
    </row>
  </sheetData>
  <sortState ref="A2:E71">
    <sortCondition ref="D2:D71"/>
    <sortCondition ref="B2:B71"/>
    <sortCondition ref="C2:C7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24"/>
  <sheetViews>
    <sheetView zoomScale="80" zoomScaleNormal="80" workbookViewId="0">
      <selection activeCell="D5" sqref="D5"/>
    </sheetView>
  </sheetViews>
  <sheetFormatPr baseColWidth="10" defaultRowHeight="15" x14ac:dyDescent="0.25"/>
  <cols>
    <col min="2" max="2" width="23.7109375" customWidth="1"/>
    <col min="3" max="3" width="10.140625" customWidth="1"/>
    <col min="4" max="4" width="76.5703125" customWidth="1"/>
    <col min="5" max="6" width="3.85546875" bestFit="1" customWidth="1"/>
    <col min="7" max="7" width="6.42578125" customWidth="1"/>
    <col min="8" max="10" width="3.85546875" bestFit="1" customWidth="1"/>
    <col min="11" max="11" width="6.7109375" bestFit="1" customWidth="1"/>
    <col min="12" max="14" width="3.85546875" bestFit="1" customWidth="1"/>
  </cols>
  <sheetData>
    <row r="1" spans="1:14" ht="74.25" customHeight="1" x14ac:dyDescent="0.25">
      <c r="B1" s="93" t="s">
        <v>174</v>
      </c>
      <c r="C1" s="93" t="s">
        <v>175</v>
      </c>
      <c r="D1" s="93" t="s">
        <v>50</v>
      </c>
      <c r="E1" s="98" t="s">
        <v>21</v>
      </c>
      <c r="F1" s="98" t="s">
        <v>22</v>
      </c>
      <c r="G1" s="98" t="s">
        <v>158</v>
      </c>
      <c r="H1" s="98" t="s">
        <v>16</v>
      </c>
      <c r="I1" s="106" t="s">
        <v>17</v>
      </c>
      <c r="J1" s="106" t="s">
        <v>18</v>
      </c>
      <c r="K1" s="106" t="s">
        <v>136</v>
      </c>
      <c r="L1" s="98" t="s">
        <v>19</v>
      </c>
      <c r="M1" s="98" t="s">
        <v>20</v>
      </c>
      <c r="N1" s="106" t="s">
        <v>26</v>
      </c>
    </row>
    <row r="2" spans="1:14" x14ac:dyDescent="0.25">
      <c r="A2">
        <v>1</v>
      </c>
      <c r="B2" t="s">
        <v>127</v>
      </c>
      <c r="C2" t="s">
        <v>140</v>
      </c>
      <c r="D2" t="s">
        <v>128</v>
      </c>
      <c r="G2">
        <v>1</v>
      </c>
      <c r="I2">
        <v>1</v>
      </c>
      <c r="L2">
        <v>1</v>
      </c>
      <c r="M2">
        <v>1</v>
      </c>
    </row>
    <row r="3" spans="1:14" x14ac:dyDescent="0.25">
      <c r="A3">
        <v>2</v>
      </c>
      <c r="B3" t="s">
        <v>127</v>
      </c>
      <c r="C3" t="s">
        <v>140</v>
      </c>
      <c r="D3" t="s">
        <v>129</v>
      </c>
      <c r="G3">
        <v>1</v>
      </c>
      <c r="J3">
        <v>1</v>
      </c>
      <c r="L3">
        <v>1</v>
      </c>
      <c r="M3">
        <v>1</v>
      </c>
    </row>
    <row r="4" spans="1:14" x14ac:dyDescent="0.25">
      <c r="A4">
        <v>3</v>
      </c>
      <c r="B4" t="s">
        <v>127</v>
      </c>
      <c r="C4" t="s">
        <v>140</v>
      </c>
      <c r="D4" t="s">
        <v>130</v>
      </c>
      <c r="H4">
        <v>1</v>
      </c>
      <c r="I4">
        <v>1</v>
      </c>
      <c r="L4">
        <v>1</v>
      </c>
      <c r="M4">
        <v>1</v>
      </c>
    </row>
    <row r="5" spans="1:14" x14ac:dyDescent="0.25">
      <c r="A5">
        <v>4</v>
      </c>
      <c r="B5" t="s">
        <v>127</v>
      </c>
      <c r="C5" t="s">
        <v>140</v>
      </c>
      <c r="D5" t="s">
        <v>137</v>
      </c>
      <c r="H5">
        <v>1</v>
      </c>
      <c r="J5">
        <v>1</v>
      </c>
      <c r="L5">
        <v>1</v>
      </c>
      <c r="M5">
        <v>1</v>
      </c>
    </row>
    <row r="6" spans="1:14" x14ac:dyDescent="0.25">
      <c r="A6">
        <v>5</v>
      </c>
      <c r="B6" t="s">
        <v>127</v>
      </c>
      <c r="C6" t="s">
        <v>140</v>
      </c>
      <c r="D6" t="s">
        <v>134</v>
      </c>
      <c r="K6">
        <v>1</v>
      </c>
      <c r="L6">
        <v>1</v>
      </c>
      <c r="M6">
        <v>1</v>
      </c>
    </row>
    <row r="7" spans="1:14" x14ac:dyDescent="0.25">
      <c r="A7">
        <v>1</v>
      </c>
      <c r="B7" t="s">
        <v>127</v>
      </c>
      <c r="C7" s="96" t="s">
        <v>141</v>
      </c>
      <c r="D7" s="96" t="s">
        <v>131</v>
      </c>
      <c r="E7">
        <v>1</v>
      </c>
      <c r="F7">
        <v>1</v>
      </c>
      <c r="G7">
        <v>1</v>
      </c>
      <c r="I7">
        <v>1</v>
      </c>
      <c r="L7">
        <v>1</v>
      </c>
      <c r="M7">
        <v>1</v>
      </c>
    </row>
    <row r="8" spans="1:14" x14ac:dyDescent="0.25">
      <c r="A8">
        <v>2</v>
      </c>
      <c r="B8" t="s">
        <v>127</v>
      </c>
      <c r="C8" s="96" t="s">
        <v>141</v>
      </c>
      <c r="D8" s="96" t="s">
        <v>132</v>
      </c>
      <c r="E8">
        <v>1</v>
      </c>
      <c r="F8">
        <v>1</v>
      </c>
      <c r="G8">
        <v>1</v>
      </c>
      <c r="J8">
        <v>1</v>
      </c>
      <c r="L8">
        <v>1</v>
      </c>
      <c r="M8">
        <v>1</v>
      </c>
    </row>
    <row r="9" spans="1:14" x14ac:dyDescent="0.25">
      <c r="A9">
        <v>3</v>
      </c>
      <c r="B9" t="s">
        <v>127</v>
      </c>
      <c r="C9" s="96" t="s">
        <v>141</v>
      </c>
      <c r="D9" s="96" t="s">
        <v>133</v>
      </c>
      <c r="E9">
        <v>1</v>
      </c>
      <c r="F9">
        <v>1</v>
      </c>
      <c r="H9">
        <v>1</v>
      </c>
      <c r="I9">
        <v>1</v>
      </c>
      <c r="L9">
        <v>1</v>
      </c>
      <c r="M9">
        <v>1</v>
      </c>
    </row>
    <row r="10" spans="1:14" x14ac:dyDescent="0.25">
      <c r="A10">
        <v>4</v>
      </c>
      <c r="B10" t="s">
        <v>127</v>
      </c>
      <c r="C10" s="96" t="s">
        <v>141</v>
      </c>
      <c r="D10" s="96" t="s">
        <v>138</v>
      </c>
      <c r="E10">
        <v>1</v>
      </c>
      <c r="F10">
        <v>1</v>
      </c>
      <c r="H10">
        <v>1</v>
      </c>
      <c r="J10">
        <v>1</v>
      </c>
      <c r="L10">
        <v>1</v>
      </c>
      <c r="M10">
        <v>1</v>
      </c>
    </row>
    <row r="11" spans="1:14" x14ac:dyDescent="0.25">
      <c r="A11">
        <v>5</v>
      </c>
      <c r="B11" t="s">
        <v>127</v>
      </c>
      <c r="C11" s="96" t="s">
        <v>141</v>
      </c>
      <c r="D11" s="96" t="s">
        <v>135</v>
      </c>
      <c r="E11">
        <v>1</v>
      </c>
      <c r="K11">
        <v>1</v>
      </c>
      <c r="L11">
        <v>1</v>
      </c>
      <c r="M11">
        <v>1</v>
      </c>
    </row>
    <row r="15" spans="1:14" x14ac:dyDescent="0.25">
      <c r="A15">
        <v>1</v>
      </c>
      <c r="B15" t="s">
        <v>139</v>
      </c>
      <c r="C15" t="s">
        <v>140</v>
      </c>
      <c r="D15" t="s">
        <v>128</v>
      </c>
      <c r="G15">
        <v>1</v>
      </c>
      <c r="I15">
        <v>1</v>
      </c>
      <c r="L15">
        <v>1</v>
      </c>
      <c r="M15">
        <v>1</v>
      </c>
      <c r="N15">
        <v>1</v>
      </c>
    </row>
    <row r="16" spans="1:14" x14ac:dyDescent="0.25">
      <c r="A16">
        <v>2</v>
      </c>
      <c r="B16" t="s">
        <v>139</v>
      </c>
      <c r="C16" t="s">
        <v>140</v>
      </c>
      <c r="D16" t="s">
        <v>129</v>
      </c>
      <c r="G16">
        <v>1</v>
      </c>
      <c r="J16">
        <v>1</v>
      </c>
      <c r="L16">
        <v>1</v>
      </c>
      <c r="M16">
        <v>1</v>
      </c>
      <c r="N16">
        <v>1</v>
      </c>
    </row>
    <row r="17" spans="1:14" x14ac:dyDescent="0.25">
      <c r="A17">
        <v>3</v>
      </c>
      <c r="B17" t="s">
        <v>139</v>
      </c>
      <c r="C17" t="s">
        <v>140</v>
      </c>
      <c r="D17" t="s">
        <v>130</v>
      </c>
      <c r="G17">
        <v>1</v>
      </c>
      <c r="H17">
        <v>1</v>
      </c>
      <c r="I17">
        <v>1</v>
      </c>
      <c r="L17">
        <v>1</v>
      </c>
      <c r="M17">
        <v>1</v>
      </c>
      <c r="N17">
        <v>1</v>
      </c>
    </row>
    <row r="18" spans="1:14" x14ac:dyDescent="0.25">
      <c r="A18">
        <v>4</v>
      </c>
      <c r="B18" t="s">
        <v>139</v>
      </c>
      <c r="C18" t="s">
        <v>140</v>
      </c>
      <c r="D18" t="s">
        <v>137</v>
      </c>
      <c r="G18">
        <v>1</v>
      </c>
      <c r="H18">
        <v>1</v>
      </c>
      <c r="J18">
        <v>1</v>
      </c>
      <c r="L18">
        <v>1</v>
      </c>
      <c r="M18">
        <v>1</v>
      </c>
      <c r="N18">
        <v>1</v>
      </c>
    </row>
    <row r="19" spans="1:14" x14ac:dyDescent="0.25">
      <c r="A19">
        <v>5</v>
      </c>
      <c r="B19" t="s">
        <v>139</v>
      </c>
      <c r="C19" t="s">
        <v>140</v>
      </c>
      <c r="D19" t="s">
        <v>134</v>
      </c>
      <c r="K19">
        <v>1</v>
      </c>
      <c r="L19">
        <v>1</v>
      </c>
      <c r="M19">
        <v>1</v>
      </c>
      <c r="N19">
        <v>1</v>
      </c>
    </row>
    <row r="20" spans="1:14" x14ac:dyDescent="0.25">
      <c r="A20">
        <v>1</v>
      </c>
      <c r="B20" t="s">
        <v>139</v>
      </c>
      <c r="C20" s="97" t="s">
        <v>141</v>
      </c>
      <c r="D20" s="97" t="s">
        <v>131</v>
      </c>
      <c r="E20">
        <v>1</v>
      </c>
      <c r="F20">
        <v>1</v>
      </c>
      <c r="G20">
        <v>1</v>
      </c>
      <c r="I20">
        <v>1</v>
      </c>
      <c r="L20">
        <v>1</v>
      </c>
      <c r="M20">
        <v>1</v>
      </c>
      <c r="N20">
        <v>1</v>
      </c>
    </row>
    <row r="21" spans="1:14" x14ac:dyDescent="0.25">
      <c r="A21">
        <v>2</v>
      </c>
      <c r="B21" t="s">
        <v>139</v>
      </c>
      <c r="C21" s="97" t="s">
        <v>141</v>
      </c>
      <c r="D21" s="97" t="s">
        <v>132</v>
      </c>
      <c r="E21">
        <v>1</v>
      </c>
      <c r="F21">
        <v>1</v>
      </c>
      <c r="G21">
        <v>1</v>
      </c>
      <c r="J21">
        <v>1</v>
      </c>
      <c r="L21">
        <v>1</v>
      </c>
      <c r="M21">
        <v>1</v>
      </c>
      <c r="N21">
        <v>1</v>
      </c>
    </row>
    <row r="22" spans="1:14" x14ac:dyDescent="0.25">
      <c r="A22">
        <v>3</v>
      </c>
      <c r="B22" t="s">
        <v>139</v>
      </c>
      <c r="C22" s="97" t="s">
        <v>141</v>
      </c>
      <c r="D22" s="97" t="s">
        <v>133</v>
      </c>
      <c r="E22">
        <v>1</v>
      </c>
      <c r="F22">
        <v>1</v>
      </c>
      <c r="G22">
        <v>1</v>
      </c>
      <c r="H22">
        <v>1</v>
      </c>
      <c r="I22">
        <v>1</v>
      </c>
      <c r="L22">
        <v>1</v>
      </c>
      <c r="M22">
        <v>1</v>
      </c>
      <c r="N22">
        <v>1</v>
      </c>
    </row>
    <row r="23" spans="1:14" x14ac:dyDescent="0.25">
      <c r="A23">
        <v>4</v>
      </c>
      <c r="B23" t="s">
        <v>139</v>
      </c>
      <c r="C23" s="97" t="s">
        <v>141</v>
      </c>
      <c r="D23" s="97" t="s">
        <v>138</v>
      </c>
      <c r="E23">
        <v>1</v>
      </c>
      <c r="F23">
        <v>1</v>
      </c>
      <c r="G23">
        <v>1</v>
      </c>
      <c r="H23">
        <v>1</v>
      </c>
      <c r="J23">
        <v>1</v>
      </c>
      <c r="L23">
        <v>1</v>
      </c>
      <c r="M23">
        <v>1</v>
      </c>
      <c r="N23">
        <v>1</v>
      </c>
    </row>
    <row r="24" spans="1:14" x14ac:dyDescent="0.25">
      <c r="A24">
        <v>5</v>
      </c>
      <c r="B24" t="s">
        <v>139</v>
      </c>
      <c r="C24" s="97" t="s">
        <v>141</v>
      </c>
      <c r="D24" s="97" t="s">
        <v>135</v>
      </c>
      <c r="E24">
        <v>1</v>
      </c>
      <c r="K24">
        <v>1</v>
      </c>
      <c r="L24">
        <v>1</v>
      </c>
      <c r="M24">
        <v>1</v>
      </c>
      <c r="N24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3:K40"/>
  <sheetViews>
    <sheetView zoomScale="80" zoomScaleNormal="80" zoomScaleSheetLayoutView="70" workbookViewId="0">
      <selection activeCell="C16" sqref="C16"/>
    </sheetView>
  </sheetViews>
  <sheetFormatPr baseColWidth="10" defaultRowHeight="15" x14ac:dyDescent="0.25"/>
  <cols>
    <col min="2" max="2" width="42.42578125" customWidth="1"/>
    <col min="3" max="3" width="55.7109375" customWidth="1"/>
    <col min="4" max="4" width="17.140625" customWidth="1"/>
    <col min="5" max="5" width="21.5703125" customWidth="1"/>
    <col min="6" max="6" width="11.85546875" bestFit="1" customWidth="1"/>
  </cols>
  <sheetData>
    <row r="3" spans="1:11" x14ac:dyDescent="0.25">
      <c r="B3" s="344" t="s">
        <v>176</v>
      </c>
      <c r="C3" s="345"/>
      <c r="D3" s="345"/>
      <c r="E3" s="345"/>
      <c r="F3" s="345"/>
      <c r="G3" s="346"/>
    </row>
    <row r="4" spans="1:11" ht="50.25" customHeight="1" x14ac:dyDescent="0.25">
      <c r="A4" s="214" t="s">
        <v>5</v>
      </c>
      <c r="B4" s="212" t="s">
        <v>177</v>
      </c>
      <c r="C4" s="212" t="s">
        <v>14</v>
      </c>
      <c r="D4" s="212" t="s">
        <v>178</v>
      </c>
      <c r="E4" s="212" t="s">
        <v>179</v>
      </c>
      <c r="F4" s="283" t="s">
        <v>228</v>
      </c>
      <c r="G4" s="283" t="s">
        <v>229</v>
      </c>
      <c r="H4" s="284" t="s">
        <v>235</v>
      </c>
      <c r="I4" s="339" t="s">
        <v>180</v>
      </c>
      <c r="J4" s="341" t="s">
        <v>232</v>
      </c>
      <c r="K4" s="342" t="s">
        <v>236</v>
      </c>
    </row>
    <row r="5" spans="1:11" ht="21.75" customHeight="1" thickBot="1" x14ac:dyDescent="0.3">
      <c r="A5" s="214"/>
      <c r="B5" s="230"/>
      <c r="C5" s="230"/>
      <c r="D5" s="230"/>
      <c r="E5" s="230"/>
      <c r="F5" s="230">
        <v>1</v>
      </c>
      <c r="G5" s="230">
        <v>2</v>
      </c>
      <c r="H5" s="230">
        <v>3</v>
      </c>
      <c r="I5" s="340"/>
      <c r="J5" s="340"/>
      <c r="K5" s="343"/>
    </row>
    <row r="6" spans="1:11" ht="15.75" thickBot="1" x14ac:dyDescent="0.3">
      <c r="A6" s="232">
        <v>1</v>
      </c>
      <c r="B6" s="278" t="s">
        <v>170</v>
      </c>
      <c r="C6" s="279" t="s">
        <v>181</v>
      </c>
      <c r="D6" s="280" t="s">
        <v>182</v>
      </c>
      <c r="E6" s="280" t="s">
        <v>183</v>
      </c>
      <c r="F6" s="281">
        <v>2.5</v>
      </c>
      <c r="G6" s="281">
        <v>2</v>
      </c>
      <c r="H6" s="282">
        <v>0</v>
      </c>
      <c r="I6" s="281" t="s">
        <v>184</v>
      </c>
      <c r="J6" s="264">
        <v>1</v>
      </c>
      <c r="K6" s="264">
        <v>20</v>
      </c>
    </row>
    <row r="7" spans="1:11" ht="15.75" thickBot="1" x14ac:dyDescent="0.3">
      <c r="A7" s="211">
        <v>2</v>
      </c>
      <c r="B7" s="252" t="s">
        <v>195</v>
      </c>
      <c r="C7" s="253" t="s">
        <v>196</v>
      </c>
      <c r="D7" s="254"/>
      <c r="E7" s="254"/>
      <c r="F7" s="255">
        <v>340</v>
      </c>
      <c r="G7" s="255">
        <v>280</v>
      </c>
      <c r="H7" s="256">
        <v>240</v>
      </c>
      <c r="I7" s="257" t="s">
        <v>231</v>
      </c>
      <c r="J7" s="257">
        <v>1</v>
      </c>
      <c r="K7" s="257">
        <v>0</v>
      </c>
    </row>
    <row r="8" spans="1:11" ht="15.75" thickBot="1" x14ac:dyDescent="0.3">
      <c r="A8" s="232">
        <v>3</v>
      </c>
      <c r="B8" s="270" t="s">
        <v>203</v>
      </c>
      <c r="C8" s="276" t="s">
        <v>196</v>
      </c>
      <c r="D8" s="277"/>
      <c r="E8" s="277"/>
      <c r="F8" s="273">
        <v>280</v>
      </c>
      <c r="G8" s="273">
        <v>280</v>
      </c>
      <c r="H8" s="262">
        <v>240</v>
      </c>
      <c r="I8" s="263" t="s">
        <v>231</v>
      </c>
      <c r="J8" s="264">
        <v>1</v>
      </c>
      <c r="K8" s="264">
        <v>0</v>
      </c>
    </row>
    <row r="9" spans="1:11" x14ac:dyDescent="0.25">
      <c r="A9" s="211">
        <v>4</v>
      </c>
      <c r="B9" s="348" t="s">
        <v>185</v>
      </c>
      <c r="C9" s="234" t="s">
        <v>186</v>
      </c>
      <c r="D9" s="217" t="s">
        <v>187</v>
      </c>
      <c r="E9" s="217" t="s">
        <v>188</v>
      </c>
      <c r="F9" s="235">
        <v>280</v>
      </c>
      <c r="G9" s="235">
        <v>180</v>
      </c>
      <c r="H9" s="269">
        <v>160</v>
      </c>
      <c r="I9" s="218" t="s">
        <v>189</v>
      </c>
      <c r="J9" s="218">
        <v>1000</v>
      </c>
      <c r="K9" s="218">
        <v>8</v>
      </c>
    </row>
    <row r="10" spans="1:11" ht="15.75" thickBot="1" x14ac:dyDescent="0.3">
      <c r="A10" s="211">
        <v>5</v>
      </c>
      <c r="B10" s="348"/>
      <c r="C10" s="203" t="s">
        <v>190</v>
      </c>
      <c r="D10" s="251" t="s">
        <v>187</v>
      </c>
      <c r="E10" s="251" t="s">
        <v>188</v>
      </c>
      <c r="F10" s="204">
        <v>280</v>
      </c>
      <c r="G10" s="204">
        <v>180</v>
      </c>
      <c r="H10" s="233">
        <v>160</v>
      </c>
      <c r="I10" s="216" t="s">
        <v>189</v>
      </c>
      <c r="J10" s="216">
        <v>1000</v>
      </c>
      <c r="K10" s="216">
        <v>8</v>
      </c>
    </row>
    <row r="11" spans="1:11" ht="30.75" thickBot="1" x14ac:dyDescent="0.3">
      <c r="A11" s="232">
        <v>6</v>
      </c>
      <c r="B11" s="258" t="s">
        <v>191</v>
      </c>
      <c r="C11" s="259" t="s">
        <v>192</v>
      </c>
      <c r="D11" s="260" t="s">
        <v>193</v>
      </c>
      <c r="E11" s="260" t="s">
        <v>194</v>
      </c>
      <c r="F11" s="261">
        <v>450</v>
      </c>
      <c r="G11" s="261">
        <v>450</v>
      </c>
      <c r="H11" s="262">
        <v>450</v>
      </c>
      <c r="I11" s="263" t="s">
        <v>189</v>
      </c>
      <c r="J11" s="264">
        <v>1000</v>
      </c>
      <c r="K11" s="264">
        <v>10</v>
      </c>
    </row>
    <row r="12" spans="1:11" ht="15.75" thickBot="1" x14ac:dyDescent="0.3">
      <c r="A12" s="211">
        <v>7</v>
      </c>
      <c r="B12" s="252" t="s">
        <v>171</v>
      </c>
      <c r="C12" s="253" t="s">
        <v>196</v>
      </c>
      <c r="D12" s="254"/>
      <c r="E12" s="254"/>
      <c r="F12" s="255">
        <v>50</v>
      </c>
      <c r="G12" s="255">
        <v>50</v>
      </c>
      <c r="H12" s="256">
        <v>50</v>
      </c>
      <c r="I12" s="257" t="s">
        <v>189</v>
      </c>
      <c r="J12" s="257">
        <v>1000</v>
      </c>
      <c r="K12" s="257">
        <v>0</v>
      </c>
    </row>
    <row r="13" spans="1:11" x14ac:dyDescent="0.25">
      <c r="A13" s="232">
        <v>8</v>
      </c>
      <c r="B13" s="349" t="s">
        <v>197</v>
      </c>
      <c r="C13" s="237" t="s">
        <v>198</v>
      </c>
      <c r="D13" s="238">
        <v>110</v>
      </c>
      <c r="E13" s="238">
        <v>15</v>
      </c>
      <c r="F13" s="239">
        <v>280</v>
      </c>
      <c r="G13" s="239">
        <v>280</v>
      </c>
      <c r="H13" s="240">
        <v>60</v>
      </c>
      <c r="I13" s="241" t="s">
        <v>189</v>
      </c>
      <c r="J13" s="242">
        <v>1000</v>
      </c>
      <c r="K13" s="242">
        <v>80</v>
      </c>
    </row>
    <row r="14" spans="1:11" x14ac:dyDescent="0.25">
      <c r="A14" s="232">
        <v>9</v>
      </c>
      <c r="B14" s="350"/>
      <c r="C14" s="200" t="s">
        <v>199</v>
      </c>
      <c r="D14" s="201">
        <v>110</v>
      </c>
      <c r="E14" s="201">
        <v>15</v>
      </c>
      <c r="F14" s="202">
        <v>350</v>
      </c>
      <c r="G14" s="229">
        <v>350</v>
      </c>
      <c r="H14" s="7">
        <v>95</v>
      </c>
      <c r="I14" s="210" t="s">
        <v>189</v>
      </c>
      <c r="J14" s="243">
        <v>1000</v>
      </c>
      <c r="K14" s="243">
        <v>80</v>
      </c>
    </row>
    <row r="15" spans="1:11" ht="15.75" thickBot="1" x14ac:dyDescent="0.3">
      <c r="A15" s="232">
        <v>10</v>
      </c>
      <c r="B15" s="351"/>
      <c r="C15" s="244" t="s">
        <v>200</v>
      </c>
      <c r="D15" s="245">
        <v>110</v>
      </c>
      <c r="E15" s="245">
        <v>15</v>
      </c>
      <c r="F15" s="246">
        <v>480</v>
      </c>
      <c r="G15" s="247">
        <v>480</v>
      </c>
      <c r="H15" s="248">
        <v>145</v>
      </c>
      <c r="I15" s="249" t="s">
        <v>189</v>
      </c>
      <c r="J15" s="250">
        <v>1000</v>
      </c>
      <c r="K15" s="250">
        <v>80</v>
      </c>
    </row>
    <row r="16" spans="1:11" x14ac:dyDescent="0.25">
      <c r="A16" s="211">
        <v>11</v>
      </c>
      <c r="B16" s="352" t="s">
        <v>201</v>
      </c>
      <c r="C16" s="234" t="s">
        <v>202</v>
      </c>
      <c r="D16" s="217">
        <v>110</v>
      </c>
      <c r="E16" s="217">
        <v>15</v>
      </c>
      <c r="F16" s="235">
        <v>450</v>
      </c>
      <c r="G16" s="235">
        <v>450</v>
      </c>
      <c r="H16" s="236">
        <v>105</v>
      </c>
      <c r="I16" s="218" t="s">
        <v>189</v>
      </c>
      <c r="J16" s="218">
        <v>1000</v>
      </c>
      <c r="K16" s="218">
        <v>80</v>
      </c>
    </row>
    <row r="17" spans="1:11" x14ac:dyDescent="0.25">
      <c r="A17" s="211">
        <v>12</v>
      </c>
      <c r="B17" s="352"/>
      <c r="C17" s="227"/>
      <c r="D17" s="228"/>
      <c r="E17" s="228"/>
      <c r="F17" s="229">
        <v>450</v>
      </c>
      <c r="G17" s="229">
        <v>450</v>
      </c>
      <c r="H17" s="231">
        <v>135</v>
      </c>
      <c r="I17" s="210" t="s">
        <v>189</v>
      </c>
      <c r="J17" s="210">
        <v>1000</v>
      </c>
      <c r="K17" s="210">
        <v>80</v>
      </c>
    </row>
    <row r="18" spans="1:11" ht="15.75" thickBot="1" x14ac:dyDescent="0.3">
      <c r="A18" s="211">
        <v>13</v>
      </c>
      <c r="B18" s="352"/>
      <c r="C18" s="265"/>
      <c r="D18" s="266"/>
      <c r="E18" s="266"/>
      <c r="F18" s="267">
        <v>450</v>
      </c>
      <c r="G18" s="267">
        <v>450</v>
      </c>
      <c r="H18" s="268">
        <v>165</v>
      </c>
      <c r="I18" s="216" t="s">
        <v>189</v>
      </c>
      <c r="J18" s="216">
        <v>1000</v>
      </c>
      <c r="K18" s="216">
        <v>80</v>
      </c>
    </row>
    <row r="19" spans="1:11" ht="15.75" thickBot="1" x14ac:dyDescent="0.3">
      <c r="A19" s="232">
        <v>14</v>
      </c>
      <c r="B19" s="270" t="s">
        <v>204</v>
      </c>
      <c r="C19" s="271" t="s">
        <v>205</v>
      </c>
      <c r="D19" s="272">
        <v>120</v>
      </c>
      <c r="E19" s="272">
        <v>15</v>
      </c>
      <c r="F19" s="273">
        <v>450</v>
      </c>
      <c r="G19" s="273">
        <v>400</v>
      </c>
      <c r="H19" s="307">
        <v>400</v>
      </c>
      <c r="I19" s="263" t="s">
        <v>189</v>
      </c>
      <c r="J19" s="264">
        <v>1000</v>
      </c>
      <c r="K19" s="264">
        <v>0</v>
      </c>
    </row>
    <row r="20" spans="1:11" ht="30.75" thickBot="1" x14ac:dyDescent="0.3">
      <c r="A20" s="211">
        <v>15</v>
      </c>
      <c r="B20" s="252" t="s">
        <v>206</v>
      </c>
      <c r="C20" s="274" t="s">
        <v>227</v>
      </c>
      <c r="D20" s="275"/>
      <c r="E20" s="275"/>
      <c r="F20" s="255">
        <v>20</v>
      </c>
      <c r="G20" s="255">
        <v>20</v>
      </c>
      <c r="H20" s="256">
        <v>20</v>
      </c>
      <c r="I20" s="257" t="s">
        <v>189</v>
      </c>
      <c r="J20" s="257">
        <v>1000</v>
      </c>
      <c r="K20" s="257">
        <v>0</v>
      </c>
    </row>
    <row r="21" spans="1:11" ht="15.75" thickBot="1" x14ac:dyDescent="0.3">
      <c r="A21" s="232">
        <v>16</v>
      </c>
      <c r="B21" s="270" t="s">
        <v>207</v>
      </c>
      <c r="C21" s="271" t="s">
        <v>208</v>
      </c>
      <c r="D21" s="272">
        <v>120</v>
      </c>
      <c r="E21" s="272">
        <v>15</v>
      </c>
      <c r="F21" s="273">
        <v>400</v>
      </c>
      <c r="G21" s="273">
        <v>350</v>
      </c>
      <c r="H21" s="262">
        <v>400</v>
      </c>
      <c r="I21" s="263" t="s">
        <v>189</v>
      </c>
      <c r="J21" s="264">
        <v>1000</v>
      </c>
      <c r="K21" s="264">
        <v>0</v>
      </c>
    </row>
    <row r="25" spans="1:11" x14ac:dyDescent="0.25">
      <c r="B25" s="205"/>
      <c r="C25" s="206"/>
      <c r="D25" s="207"/>
      <c r="E25" s="207"/>
      <c r="F25" s="208"/>
      <c r="G25" s="208"/>
    </row>
    <row r="26" spans="1:11" x14ac:dyDescent="0.25">
      <c r="B26" s="205"/>
      <c r="C26" s="205"/>
      <c r="D26" s="209"/>
      <c r="E26" s="209"/>
      <c r="F26" s="208"/>
      <c r="G26" s="208"/>
    </row>
    <row r="27" spans="1:11" x14ac:dyDescent="0.25">
      <c r="B27" s="347" t="s">
        <v>209</v>
      </c>
      <c r="C27" s="347"/>
      <c r="D27" s="347"/>
      <c r="E27" s="347"/>
      <c r="F27" s="347"/>
      <c r="G27" s="216"/>
    </row>
    <row r="28" spans="1:11" ht="30" x14ac:dyDescent="0.25">
      <c r="A28" s="215" t="s">
        <v>5</v>
      </c>
      <c r="B28" s="215" t="s">
        <v>210</v>
      </c>
      <c r="C28" s="215" t="s">
        <v>211</v>
      </c>
      <c r="D28" s="215" t="s">
        <v>212</v>
      </c>
      <c r="E28" s="215" t="s">
        <v>213</v>
      </c>
      <c r="F28" s="215" t="s">
        <v>214</v>
      </c>
      <c r="G28" s="215" t="s">
        <v>180</v>
      </c>
    </row>
    <row r="29" spans="1:11" x14ac:dyDescent="0.25">
      <c r="A29" s="211">
        <v>1</v>
      </c>
      <c r="B29" s="217" t="s">
        <v>218</v>
      </c>
      <c r="C29" s="217" t="s">
        <v>216</v>
      </c>
      <c r="D29" s="213">
        <v>240</v>
      </c>
      <c r="E29" s="217" t="s">
        <v>219</v>
      </c>
      <c r="F29" s="217" t="s">
        <v>219</v>
      </c>
      <c r="G29" s="218">
        <v>1</v>
      </c>
    </row>
    <row r="30" spans="1:11" x14ac:dyDescent="0.25">
      <c r="A30" s="211">
        <v>2</v>
      </c>
      <c r="B30" s="201" t="s">
        <v>226</v>
      </c>
      <c r="C30" s="201" t="s">
        <v>216</v>
      </c>
      <c r="D30" s="213">
        <v>240</v>
      </c>
      <c r="E30" s="201" t="s">
        <v>219</v>
      </c>
      <c r="F30" s="201" t="s">
        <v>219</v>
      </c>
      <c r="G30" s="210">
        <v>1</v>
      </c>
    </row>
    <row r="31" spans="1:11" x14ac:dyDescent="0.25">
      <c r="A31" s="211">
        <v>3</v>
      </c>
      <c r="B31" s="201" t="s">
        <v>215</v>
      </c>
      <c r="C31" s="201" t="s">
        <v>216</v>
      </c>
      <c r="D31" s="213">
        <v>160</v>
      </c>
      <c r="E31" s="201" t="s">
        <v>187</v>
      </c>
      <c r="F31" s="201" t="s">
        <v>188</v>
      </c>
      <c r="G31" s="210">
        <v>1000</v>
      </c>
    </row>
    <row r="32" spans="1:11" x14ac:dyDescent="0.25">
      <c r="A32" s="211">
        <v>4</v>
      </c>
      <c r="B32" s="201" t="s">
        <v>217</v>
      </c>
      <c r="C32" s="201" t="s">
        <v>216</v>
      </c>
      <c r="D32" s="213">
        <v>450</v>
      </c>
      <c r="E32" s="201" t="s">
        <v>193</v>
      </c>
      <c r="F32" s="201" t="s">
        <v>194</v>
      </c>
      <c r="G32" s="210">
        <v>1000</v>
      </c>
    </row>
    <row r="33" spans="1:7" x14ac:dyDescent="0.25">
      <c r="A33" s="211">
        <v>5</v>
      </c>
      <c r="B33" s="201" t="s">
        <v>220</v>
      </c>
      <c r="C33" s="201" t="s">
        <v>216</v>
      </c>
      <c r="D33" s="213">
        <v>50</v>
      </c>
      <c r="E33" s="201" t="s">
        <v>219</v>
      </c>
      <c r="F33" s="201" t="s">
        <v>219</v>
      </c>
      <c r="G33" s="210">
        <v>1000</v>
      </c>
    </row>
    <row r="34" spans="1:7" x14ac:dyDescent="0.25">
      <c r="A34" s="211">
        <v>6</v>
      </c>
      <c r="B34" s="201" t="s">
        <v>221</v>
      </c>
      <c r="C34" s="201" t="s">
        <v>222</v>
      </c>
      <c r="D34" s="213">
        <v>60</v>
      </c>
      <c r="E34" s="201" t="s">
        <v>219</v>
      </c>
      <c r="F34" s="201" t="s">
        <v>219</v>
      </c>
      <c r="G34" s="210">
        <v>1000</v>
      </c>
    </row>
    <row r="35" spans="1:7" x14ac:dyDescent="0.25">
      <c r="A35" s="211">
        <v>7</v>
      </c>
      <c r="B35" s="201" t="s">
        <v>221</v>
      </c>
      <c r="C35" s="201" t="s">
        <v>223</v>
      </c>
      <c r="D35" s="213">
        <v>95</v>
      </c>
      <c r="E35" s="201" t="s">
        <v>219</v>
      </c>
      <c r="F35" s="201" t="s">
        <v>219</v>
      </c>
      <c r="G35" s="210">
        <v>1000</v>
      </c>
    </row>
    <row r="36" spans="1:7" x14ac:dyDescent="0.25">
      <c r="A36" s="211">
        <v>8</v>
      </c>
      <c r="B36" s="201" t="s">
        <v>221</v>
      </c>
      <c r="C36" s="201" t="s">
        <v>224</v>
      </c>
      <c r="D36" s="213">
        <v>145</v>
      </c>
      <c r="E36" s="201" t="s">
        <v>219</v>
      </c>
      <c r="F36" s="201" t="s">
        <v>219</v>
      </c>
      <c r="G36" s="210">
        <v>1000</v>
      </c>
    </row>
    <row r="37" spans="1:7" x14ac:dyDescent="0.25">
      <c r="A37" s="211">
        <v>9</v>
      </c>
      <c r="B37" s="201" t="s">
        <v>225</v>
      </c>
      <c r="C37" s="201" t="s">
        <v>222</v>
      </c>
      <c r="D37" s="213">
        <v>105</v>
      </c>
      <c r="E37" s="201" t="s">
        <v>219</v>
      </c>
      <c r="F37" s="201" t="s">
        <v>219</v>
      </c>
      <c r="G37" s="210">
        <v>1000</v>
      </c>
    </row>
    <row r="38" spans="1:7" x14ac:dyDescent="0.25">
      <c r="A38" s="211">
        <v>10</v>
      </c>
      <c r="B38" s="201" t="s">
        <v>225</v>
      </c>
      <c r="C38" s="201" t="s">
        <v>223</v>
      </c>
      <c r="D38" s="213">
        <v>135</v>
      </c>
      <c r="E38" s="201" t="s">
        <v>219</v>
      </c>
      <c r="F38" s="201" t="s">
        <v>219</v>
      </c>
      <c r="G38" s="210">
        <v>1000</v>
      </c>
    </row>
    <row r="39" spans="1:7" x14ac:dyDescent="0.25">
      <c r="A39" s="211">
        <v>11</v>
      </c>
      <c r="B39" s="201" t="s">
        <v>225</v>
      </c>
      <c r="C39" s="201" t="s">
        <v>224</v>
      </c>
      <c r="D39" s="213">
        <v>165</v>
      </c>
      <c r="E39" s="201" t="s">
        <v>219</v>
      </c>
      <c r="F39" s="201" t="s">
        <v>219</v>
      </c>
      <c r="G39" s="210">
        <v>1000</v>
      </c>
    </row>
    <row r="40" spans="1:7" x14ac:dyDescent="0.25">
      <c r="A40" s="211"/>
    </row>
  </sheetData>
  <mergeCells count="8">
    <mergeCell ref="I4:I5"/>
    <mergeCell ref="J4:J5"/>
    <mergeCell ref="K4:K5"/>
    <mergeCell ref="B3:G3"/>
    <mergeCell ref="B27:F27"/>
    <mergeCell ref="B9:B10"/>
    <mergeCell ref="B13:B15"/>
    <mergeCell ref="B16:B18"/>
  </mergeCells>
  <pageMargins left="0.75" right="0.75" top="1" bottom="1" header="0.5" footer="0.5"/>
  <pageSetup scale="45" orientation="landscape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Cotizador</vt:lpstr>
      <vt:lpstr>CotiMaquilas</vt:lpstr>
      <vt:lpstr>Cartones</vt:lpstr>
      <vt:lpstr>Tipos Productos</vt:lpstr>
      <vt:lpstr>Precios de Maquilas</vt:lpstr>
      <vt:lpstr>'Precios de Maquilas'!Área_de_impresión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Administrador</cp:lastModifiedBy>
  <dcterms:created xsi:type="dcterms:W3CDTF">2017-06-13T21:18:05Z</dcterms:created>
  <dcterms:modified xsi:type="dcterms:W3CDTF">2017-08-25T04:01:24Z</dcterms:modified>
</cp:coreProperties>
</file>